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Deepanshu\Desktop\PRIYANSHU\EXCEL\4-hour-course-xl-files\"/>
    </mc:Choice>
  </mc:AlternateContent>
  <xr:revisionPtr revIDLastSave="0" documentId="13_ncr:1_{0E25059F-C990-4E0B-AA28-B3A6BC58AB5E}" xr6:coauthVersionLast="47" xr6:coauthVersionMax="47" xr10:uidLastSave="{00000000-0000-0000-0000-000000000000}"/>
  <bookViews>
    <workbookView xWindow="-108" yWindow="-108" windowWidth="23256" windowHeight="12456" activeTab="1" xr2:uid="{26D4546B-D2A1-4444-8EAF-A6228F96F0C1}"/>
  </bookViews>
  <sheets>
    <sheet name="Data" sheetId="2" r:id="rId1"/>
    <sheet name="Customer center report" sheetId="5" r:id="rId2"/>
    <sheet name="Sheet3" sheetId="7" r:id="rId3"/>
  </sheets>
  <definedNames>
    <definedName name="_xlnm._FilterDatabase" localSheetId="0"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28" i="7" l="1"/>
  <c r="P17" i="5" a="1"/>
  <c r="P17" i="5" s="1"/>
  <c r="O18" i="5" a="1"/>
  <c r="P13" i="7"/>
  <c r="M16" i="7" a="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O18" i="5" l="1"/>
  <c r="Q18" i="7"/>
  <c r="Q17" i="7"/>
  <c r="Q19" i="7"/>
  <c r="Q20" i="7"/>
  <c r="Q16" i="7"/>
  <c r="P17" i="7"/>
  <c r="P18" i="7"/>
  <c r="P19" i="7"/>
  <c r="P20" i="7"/>
  <c r="P16" i="7"/>
  <c r="M1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63D5F7-1FCC-401E-95A4-529ED7A00EC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31E9638-E46A-4DEA-B7C9-4827798C6E08}"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853CDAD7-E09C-4490-A634-21D7F0C7D52D}"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<sst xmlns="http://schemas.openxmlformats.org/spreadsheetml/2006/main" count="3155" uniqueCount="1079">
  <si>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</si>
  <si>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</si>
  <si>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</si>
  <si>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</si>
  <si>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</si>
  <si>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</si>
  <si>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</si>
  <si>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</si>
  <si>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</si>
  <si>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</si>
  <si>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</si>
  <si>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</si>
  <si>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</si>
  <si>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</si>
  <si>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</si>
  <si>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</si>
  <si>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</si>
  <si>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</si>
  <si>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</si>
  <si>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</si>
  <si>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</si>
  <si>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</si>
  <si>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</si>
  <si>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</si>
  <si>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</si>
  <si>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</si>
  <si>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</si>
  <si>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</si>
  <si>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</si>
  <si>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</si>
  <si>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</si>
  <si>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</si>
  <si>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</si>
  <si>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</si>
  <si>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</si>
  <si>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</si>
  <si>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</si>
  <si>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</si>
  <si>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</si>
  <si>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</si>
  <si>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</si>
  <si>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</si>
  <si>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</si>
  <si>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</si>
  <si>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</si>
  <si>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</si>
  <si>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</si>
  <si>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</si>
  <si>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</si>
  <si>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</si>
  <si>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</si>
  <si>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</si>
  <si>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</si>
  <si>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</si>
  <si>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</si>
  <si>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</si>
  <si>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</si>
  <si>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</si>
  <si>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</si>
  <si>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</si>
  <si>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</si>
  <si>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</si>
  <si>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</si>
  <si>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</si>
  <si>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</si>
  <si>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</si>
  <si>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</si>
  <si>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</si>
  <si>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</si>
  <si>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</si>
  <si>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</si>
  <si>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</si>
  <si>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</si>
  <si>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</si>
  <si>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</si>
  <si>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</si>
  <si>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</si>
  <si>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</si>
  <si>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</si>
  <si>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</si>
  <si>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</si>
  <si>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</si>
  <si>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</si>
  <si>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</si>
  <si>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</si>
  <si>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</si>
  <si>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</si>
  <si>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</si>
  <si>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</si>
  <si>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</si>
  <si>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</si>
  <si>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</si>
  <si>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</si>
  <si>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</si>
  <si>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</si>
  <si>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</si>
  <si>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</si>
  <si>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</si>
  <si>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</si>
  <si>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</si>
  <si>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</si>
  <si>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</si>
  <si>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</si>
  <si>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</si>
  <si>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</si>
  <si>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</si>
  <si>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</si>
  <si>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</si>
  <si>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</si>
  <si>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</si>
  <si>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</si>
  <si>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</si>
  <si>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</si>
  <si>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</si>
  <si>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</si>
  <si>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</si>
  <si>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</si>
  <si>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</si>
  <si>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</si>
  <si>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</si>
  <si>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</si>
  <si>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</si>
  <si>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</si>
  <si>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</si>
  <si>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</si>
  <si>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</si>
  <si>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</si>
  <si>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</si>
  <si>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</si>
  <si>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</si>
  <si>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</si>
  <si>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</si>
  <si>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</si>
  <si>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</si>
  <si>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</si>
  <si>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</si>
  <si>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</si>
  <si>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</si>
  <si>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</si>
  <si>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</si>
  <si>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</si>
  <si>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</si>
  <si>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</si>
  <si>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</si>
  <si>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</si>
  <si>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</si>
  <si>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</si>
  <si>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</si>
  <si>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</si>
  <si>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</si>
  <si>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</si>
  <si>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</si>
  <si>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</si>
  <si>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</si>
  <si>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</si>
  <si>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</si>
  <si>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</si>
  <si>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</si>
  <si>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</si>
  <si>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</si>
  <si>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</si>
  <si>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</si>
  <si>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</si>
  <si>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</si>
  <si>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</si>
  <si>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</si>
  <si>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</si>
  <si>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</si>
  <si>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</si>
  <si>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</si>
  <si>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</si>
  <si>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</si>
  <si>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</si>
  <si>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</si>
  <si>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</si>
  <si>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</si>
  <si>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</si>
  <si>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</si>
  <si>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</si>
  <si>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</si>
  <si>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</si>
  <si>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</si>
  <si>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</si>
  <si>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</si>
  <si>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</si>
  <si>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</si>
  <si>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</si>
  <si>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</si>
  <si>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</si>
  <si>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</si>
  <si>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</si>
  <si>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</si>
  <si>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</si>
  <si>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</si>
  <si>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</si>
  <si>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</si>
  <si>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</si>
  <si>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</si>
  <si>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</si>
  <si>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</si>
  <si>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</si>
  <si>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</si>
  <si>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</si>
  <si>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</si>
  <si>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</si>
  <si>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</si>
  <si>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</si>
  <si>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</si>
  <si>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</si>
  <si>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</si>
  <si>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</si>
  <si>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</si>
  <si>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</si>
  <si>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</si>
  <si>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</si>
  <si>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</si>
  <si>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</si>
  <si>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</si>
  <si>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</si>
  <si>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</si>
  <si>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</si>
  <si>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</si>
  <si>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</si>
  <si>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</si>
  <si>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</si>
  <si>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</si>
  <si>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</si>
  <si>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</si>
  <si>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</si>
  <si>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</si>
  <si>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</si>
  <si>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</si>
  <si>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</si>
  <si>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</si>
  <si>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</si>
  <si>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</si>
  <si>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</si>
  <si>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</si>
  <si>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</si>
  <si>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</si>
  <si>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</si>
  <si>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</si>
  <si>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</si>
  <si>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</si>
  <si>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</si>
  <si>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</si>
  <si>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</si>
  <si>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</si>
  <si>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</si>
  <si>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</si>
  <si>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</si>
  <si>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</si>
  <si>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</si>
  <si>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</si>
  <si>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</si>
  <si>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</si>
  <si>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</si>
  <si>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</si>
  <si>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</si>
  <si>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</si>
  <si>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</si>
  <si>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</si>
  <si>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</si>
  <si>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</si>
  <si>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</si>
  <si>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</si>
  <si>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</si>
  <si>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</si>
  <si>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</si>
  <si>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</si>
  <si>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</si>
  <si>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</si>
  <si>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</si>
  <si>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</si>
  <si>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</si>
  <si>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</si>
  <si>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</si>
  <si>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</si>
  <si>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</si>
  <si>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</si>
  <si>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</si>
  <si>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</si>
  <si>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</si>
  <si>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</si>
  <si>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</si>
  <si>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</si>
  <si>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</si>
  <si>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</si>
  <si>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</si>
  <si>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</si>
  <si>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</si>
  <si>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</si>
  <si>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</si>
  <si>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</si>
  <si>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</si>
  <si>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</si>
  <si>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</si>
  <si>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</si>
  <si>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</si>
  <si>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</si>
  <si>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</si>
  <si>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</si>
  <si>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</si>
  <si>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</si>
  <si>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</si>
  <si>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</si>
  <si>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</si>
  <si>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</si>
  <si>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</si>
  <si>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</si>
  <si>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</si>
  <si>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</si>
  <si>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</si>
  <si>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</si>
  <si>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</si>
  <si>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</si>
  <si>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</si>
  <si>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</si>
  <si>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</si>
  <si>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</si>
  <si>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</si>
  <si>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</si>
  <si>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</si>
  <si>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</si>
  <si>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</si>
  <si>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</si>
  <si>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</si>
  <si>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</si>
  <si>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</si>
  <si>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</si>
  <si>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</si>
  <si>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</si>
  <si>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</si>
  <si>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</si>
  <si>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</si>
  <si>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</si>
  <si>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</si>
  <si>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</si>
  <si>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</si>
  <si>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</si>
  <si>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</si>
  <si>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</si>
  <si>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</si>
  <si>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</si>
  <si>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</si>
  <si>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</si>
  <si>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</si>
  <si>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</si>
  <si>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</si>
  <si>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</si>
  <si>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</si>
  <si>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</si>
  <si>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</si>
  <si>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</si>
  <si>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</si>
  <si>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</si>
  <si>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</si>
  <si>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</si>
  <si>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</si>
  <si>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</si>
  <si>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</si>
  <si>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</si>
  <si>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</si>
  <si>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</si>
  <si>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</si>
  <si>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</si>
  <si>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</si>
  <si>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</si>
  <si>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</si>
  <si>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</si>
  <si>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</si>
  <si>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</si>
  <si>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</si>
  <si>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</si>
  <si>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</si>
  <si>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</si>
  <si>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</si>
  <si>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</si>
  <si>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</si>
  <si>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</si>
  <si>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</si>
  <si>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</si>
  <si>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</si>
  <si>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</si>
  <si>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</si>
  <si>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</si>
  <si>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</si>
  <si>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</si>
  <si>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</si>
  <si>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</si>
  <si>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</si>
  <si>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</si>
  <si>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</si>
  <si>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</si>
  <si>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</si>
  <si>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</si>
  <si>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</si>
  <si>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</si>
  <si>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</si>
  <si>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</si>
  <si>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</si>
  <si>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</si>
  <si>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</si>
  <si>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</si>
  <si>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</si>
  <si>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</si>
  <si>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</si>
  <si>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</si>
  <si>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</si>
  <si>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</si>
  <si>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</si>
  <si>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</si>
  <si>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</si>
  <si>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</si>
  <si>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</si>
  <si>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</si>
  <si>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</si>
  <si>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</si>
  <si>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</si>
  <si>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</si>
  <si>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</si>
  <si>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</si>
  <si>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</si>
  <si>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</si>
  <si>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</si>
  <si>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</si>
  <si>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</si>
  <si>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</si>
  <si>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</si>
  <si>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</si>
  <si>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</si>
  <si>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</si>
  <si>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</si>
  <si>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</si>
  <si>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</si>
  <si>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</si>
  <si>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</si>
  <si>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</si>
  <si>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</si>
  <si>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</si>
  <si>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</si>
  <si>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</si>
  <si>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</si>
  <si>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</si>
  <si>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</si>
  <si>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</si>
  <si>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</si>
  <si>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</si>
  <si>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</si>
  <si>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</si>
  <si>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</si>
  <si>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</si>
  <si>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</si>
  <si>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</si>
  <si>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</si>
  <si>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</si>
  <si>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</si>
  <si>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</si>
  <si>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</si>
  <si>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</si>
  <si>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</si>
  <si>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</si>
  <si>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</si>
  <si>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</si>
  <si>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</si>
  <si>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</si>
  <si>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</si>
  <si>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</si>
  <si>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</si>
  <si>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</si>
  <si>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</si>
  <si>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</si>
  <si>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</si>
  <si>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</si>
  <si>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</si>
  <si>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</si>
  <si>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</si>
  <si>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</si>
  <si>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</si>
  <si>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</si>
  <si>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</si>
  <si>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</si>
  <si>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</si>
  <si>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</si>
  <si>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</si>
  <si>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</si>
  <si>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</si>
  <si>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</si>
  <si>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</si>
  <si>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</si>
  <si>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</si>
  <si>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</si>
  <si>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</si>
  <si>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</si>
  <si>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</si>
  <si>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</si>
  <si>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</si>
  <si>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</si>
  <si>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</si>
  <si>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</si>
  <si>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</si>
  <si>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</si>
  <si>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</si>
  <si>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</si>
  <si>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</si>
  <si>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</si>
  <si>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</si>
  <si>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</si>
  <si>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</si>
  <si>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</si>
  <si>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</si>
  <si>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</si>
  <si>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</si>
  <si>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</si>
  <si>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</si>
  <si>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</si>
  <si>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</si>
  <si>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</si>
  <si>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</si>
  <si>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</si>
  <si>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</si>
  <si>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</si>
  <si>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</si>
  <si>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</si>
  <si>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</si>
  <si>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</si>
  <si>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</si>
  <si>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</si>
  <si>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</si>
  <si>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</si>
  <si>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</si>
  <si>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</si>
  <si>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</si>
  <si>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</si>
  <si>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</si>
  <si>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</si>
  <si>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</si>
  <si>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</si>
  <si>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</si>
  <si>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</si>
  <si>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</si>
  <si>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</si>
  <si>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</si>
  <si>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</si>
  <si>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</si>
  <si>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</si>
  <si>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</si>
  <si>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</si>
  <si>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</si>
  <si>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</si>
  <si>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</si>
  <si>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</si>
  <si>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</si>
  <si>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</si>
  <si>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</si>
  <si>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</si>
  <si>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</si>
  <si>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</si>
  <si>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</si>
  <si>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</si>
  <si>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</si>
  <si>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</si>
  <si>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</si>
  <si>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</si>
  <si>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</si>
  <si>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</si>
  <si>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</si>
  <si>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</si>
  <si>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</si>
  <si>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</si>
  <si>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</si>
  <si>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</si>
  <si>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</si>
  <si>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</si>
  <si>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</si>
  <si>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</si>
  <si>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</si>
  <si>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</si>
  <si>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</si>
  <si>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</si>
  <si>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</si>
  <si>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</si>
  <si>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</si>
  <si>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</si>
  <si>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</si>
  <si>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</si>
  <si>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</si>
  <si>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</si>
  <si>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</si>
  <si>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</si>
  <si>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</si>
  <si>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</si>
  <si>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</si>
  <si>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</si>
  <si>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</si>
  <si>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</si>
  <si>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</si>
  <si>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</si>
  <si>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</si>
  <si>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</si>
  <si>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</si>
  <si>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</si>
  <si>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</si>
  <si>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</si>
  <si>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</si>
  <si>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</si>
  <si>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</si>
  <si>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</si>
  <si>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</si>
  <si>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</si>
  <si>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</si>
  <si>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</si>
  <si>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</si>
  <si>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</si>
  <si>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</si>
  <si>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</si>
  <si>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</si>
  <si>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</si>
  <si>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</si>
  <si>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</si>
  <si>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</si>
  <si>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</si>
  <si>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</si>
  <si>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</si>
  <si>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</si>
  <si>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</si>
  <si>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</si>
  <si>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</si>
  <si>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</si>
  <si>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</si>
  <si>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</si>
  <si>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</si>
  <si>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</si>
  <si>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</si>
  <si>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</si>
  <si>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</si>
  <si>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</si>
  <si>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</si>
  <si>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</si>
  <si>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</si>
  <si>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</si>
  <si>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</si>
  <si>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</si>
  <si>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</si>
  <si>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</si>
  <si>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</si>
  <si>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</si>
  <si>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</si>
  <si>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</si>
  <si>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</si>
  <si>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</si>
  <si>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</si>
  <si>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</si>
  <si>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</si>
  <si>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</si>
  <si>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</si>
  <si>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</si>
  <si>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</si>
  <si>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</si>
  <si>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</si>
  <si>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</si>
  <si>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</si>
  <si>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</si>
  <si>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</si>
  <si>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</si>
  <si>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</si>
  <si>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</si>
  <si>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</si>
  <si>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</si>
  <si>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</si>
  <si>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</si>
  <si>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</si>
  <si>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</si>
  <si>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</si>
  <si>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</si>
  <si>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</si>
  <si>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</si>
  <si>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</si>
  <si>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</si>
  <si>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</si>
  <si>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</si>
  <si>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</si>
  <si>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</si>
  <si>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</si>
  <si>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</si>
  <si>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</si>
  <si>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</si>
  <si>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</si>
  <si>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</si>
  <si>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</si>
  <si>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</si>
  <si>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</si>
  <si>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</si>
  <si>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</si>
  <si>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</si>
  <si>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</si>
  <si>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</si>
  <si>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</si>
  <si>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</si>
  <si>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</si>
  <si>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</si>
  <si>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</si>
  <si>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</si>
  <si>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</si>
  <si>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</si>
  <si>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</si>
  <si>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</si>
  <si>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</si>
  <si>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</si>
  <si>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</si>
  <si>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</si>
  <si>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</si>
  <si>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</si>
  <si>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</si>
  <si>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</si>
  <si>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</si>
  <si>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</si>
  <si>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</si>
  <si>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</si>
  <si>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</si>
  <si>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</si>
  <si>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</si>
  <si>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</si>
  <si>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</si>
  <si>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</si>
  <si>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</si>
  <si>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</si>
  <si>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</si>
  <si>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</si>
  <si>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</si>
  <si>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</si>
  <si>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</si>
  <si>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</si>
  <si>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</si>
  <si>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</si>
  <si>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</si>
  <si>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</si>
  <si>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</si>
  <si>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</si>
  <si>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</si>
  <si>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</si>
  <si>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</si>
  <si>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</si>
  <si>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</si>
  <si>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</si>
  <si>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</si>
  <si>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</si>
  <si>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</si>
  <si>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</si>
  <si>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</si>
  <si>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</si>
  <si>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</si>
  <si>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</si>
  <si>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</si>
  <si>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</si>
  <si>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</si>
  <si>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</si>
  <si>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</si>
  <si>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</si>
  <si>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</si>
  <si>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</si>
  <si>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</si>
  <si>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</si>
  <si>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</si>
  <si>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</si>
  <si>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</si>
  <si>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</si>
  <si>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</si>
  <si>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</si>
  <si>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</si>
  <si>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</si>
  <si>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</si>
  <si>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</si>
  <si>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</si>
  <si>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</si>
  <si>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</si>
  <si>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</si>
  <si>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</si>
  <si>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</si>
  <si>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</si>
  <si>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</si>
  <si>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</si>
  <si>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</si>
  <si>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</si>
  <si>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</si>
  <si>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</si>
  <si>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</si>
  <si>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</si>
  <si>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</si>
  <si>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</si>
  <si>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</si>
  <si>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</si>
  <si>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</si>
  <si>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</si>
  <si>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</si>
  <si>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</si>
  <si>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</si>
  <si>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</si>
  <si>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</si>
  <si>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</si>
  <si>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</si>
  <si>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</si>
  <si>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</si>
  <si>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</si>
  <si>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</si>
  <si>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</si>
  <si>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</si>
  <si>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</si>
  <si>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</si>
  <si>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</si>
  <si>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</si>
  <si>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</si>
  <si>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</si>
  <si>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</si>
  <si>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</si>
  <si>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</si>
  <si>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</si>
  <si>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</si>
  <si>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</si>
  <si>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</si>
  <si>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</si>
  <si>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</si>
  <si>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</si>
  <si>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</si>
  <si>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</si>
  <si>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</si>
  <si>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</si>
  <si>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</si>
  <si>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</si>
  <si>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</si>
  <si>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</si>
  <si>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</si>
  <si>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</si>
  <si>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</si>
  <si>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</si>
  <si>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</si>
  <si>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</si>
  <si>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</si>
  <si>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</si>
  <si>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</si>
  <si>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</si>
  <si>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</si>
  <si>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</si>
  <si>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</si>
  <si>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</si>
  <si>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</si>
  <si>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</si>
  <si>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</si>
  <si>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</si>
  <si>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</si>
  <si>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</si>
  <si>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</si>
  <si>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</si>
  <si>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</si>
  <si>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</si>
  <si>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</si>
  <si>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</si>
  <si>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</si>
  <si>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</si>
  <si>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</si>
  <si>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</si>
  <si>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</si>
  <si>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</si>
  <si>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</si>
  <si>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</si>
  <si>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</si>
  <si>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</si>
  <si>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</si>
  <si>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</si>
  <si>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</si>
  <si>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</si>
  <si>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</si>
  <si>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</si>
  <si>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</si>
  <si>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</si>
  <si>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</si>
  <si>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</si>
  <si>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</si>
  <si>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</si>
  <si>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</si>
  <si>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</si>
  <si>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</si>
  <si>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</si>
  <si>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</si>
  <si>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</si>
  <si>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</si>
  <si>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</si>
  <si>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</si>
  <si>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</si>
  <si>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</si>
  <si>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</si>
  <si>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</si>
  <si>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</si>
  <si>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</si>
  <si>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</si>
  <si>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</si>
  <si>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</si>
  <si>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</si>
  <si>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</si>
  <si>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</si>
  <si>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</si>
  <si>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</si>
  <si>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</si>
  <si>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</si>
  <si>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</si>
  <si>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</si>
  <si>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</si>
  <si>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</si>
  <si>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</si>
  <si>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</si>
  <si>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</si>
  <si>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</si>
  <si>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</si>
  <si>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</si>
  <si>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</si>
  <si>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</si>
  <si>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</si>
  <si>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</si>
  <si>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</si>
  <si>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</si>
  <si>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</si>
  <si>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</si>
  <si>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</si>
  <si>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</si>
  <si>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</si>
  <si>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</si>
  <si>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</si>
  <si>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</si>
  <si>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</si>
  <si>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</si>
  <si>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</si>
  <si>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</si>
  <si>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</si>
  <si>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</si>
  <si>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</si>
  <si>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</si>
  <si>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</si>
  <si>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</si>
  <si>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</si>
  <si>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</si>
  <si>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</si>
  <si>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</si>
  <si>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</si>
  <si>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</si>
  <si>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</si>
  <si>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</si>
  <si>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</si>
  <si>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</si>
  <si>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</si>
  <si>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</si>
  <si>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</si>
  <si>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</si>
  <si>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</si>
  <si>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</si>
  <si>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</si>
  <si>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</si>
  <si>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</si>
  <si>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</si>
  <si>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</si>
  <si>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</si>
  <si>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</si>
  <si>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</si>
  <si>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</si>
  <si>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</si>
  <si>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</si>
  <si>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</si>
  <si>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</si>
  <si>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</si>
  <si>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</si>
  <si>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</si>
  <si>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</si>
  <si>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</si>
  <si>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</si>
  <si>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</si>
  <si>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</si>
  <si>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</si>
  <si>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</si>
  <si>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</si>
  <si>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</si>
  <si>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</si>
  <si>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</si>
  <si>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</si>
  <si>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</si>
  <si>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</si>
  <si>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</si>
  <si>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</si>
  <si>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</si>
  <si>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</si>
  <si>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</si>
  <si>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</si>
  <si>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</si>
  <si>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</si>
  <si>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</si>
  <si>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</si>
  <si>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</si>
  <si>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</si>
  <si>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</si>
  <si>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</si>
  <si>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</si>
  <si>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</si>
  <si>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</si>
  <si>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</si>
  <si>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</si>
  <si>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</si>
  <si>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</si>
  <si>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</si>
  <si>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</si>
  <si>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</si>
  <si>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</si>
  <si>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</si>
  <si>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</si>
  <si>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</si>
  <si>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</si>
  <si>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</si>
  <si>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</si>
  <si>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</si>
  <si>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</si>
  <si>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</si>
  <si>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</si>
  <si>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</si>
  <si>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</si>
  <si>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</si>
  <si>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</si>
  <si>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</si>
  <si>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</si>
  <si>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</si>
  <si>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</si>
  <si>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</si>
  <si>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</si>
  <si>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</si>
  <si>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</si>
  <si>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</si>
  <si>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</si>
  <si>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</si>
  <si>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</si>
  <si>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</si>
  <si>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</si>
  <si>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</si>
  <si>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</si>
  <si>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</si>
  <si>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Call Count</t>
  </si>
  <si>
    <t>Total Amount</t>
  </si>
  <si>
    <t>Total Duration</t>
  </si>
  <si>
    <t>Avg.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</si>
  <si>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</si>
  <si>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</si>
  <si>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</si>
  <si>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</si>
  <si>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</si>
  <si>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</si>
  <si>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</si>
  <si>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</si>
  <si>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</si>
  <si>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</si>
  <si>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</si>
  <si>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</si>
  <si>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</si>
  <si>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</si>
  <si>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</si>
  <si>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</si>
  <si>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</si>
  <si>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</si>
  <si>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</si>
  <si>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</si>
  <si>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</si>
  <si>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</si>
  <si>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</si>
  <si>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Total Purchase Amount</t>
  </si>
  <si>
    <t>for graph</t>
  </si>
  <si>
    <t>calls</t>
  </si>
  <si>
    <t>Amount</t>
  </si>
  <si>
    <t>Sel.calls</t>
  </si>
  <si>
    <t>sel. Amount</t>
  </si>
  <si>
    <t>Selected rep</t>
  </si>
  <si>
    <t>Column Labels</t>
  </si>
  <si>
    <t>Count of Call number</t>
  </si>
  <si>
    <t>Sum of Purchase Amount</t>
  </si>
  <si>
    <t>Total</t>
  </si>
  <si>
    <t>CALL CENTER REPORT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</si>
</sst>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409]d\-mmm\-yy;@"/>
    <numFmt numFmtId="165" formatCode="0.0"/>
    <numFmt numFmtId="166" formatCode="[$$-409]#,##0"/>
    <numFmt numFmtId="167" formatCode="\$#,###.0,&quot;k&quot;"/>
    <numFmt numFmtId="168" formatCode="[$$-409]#,##0_ ;\-[$$-409]#,##0\ "/>
    <numFmt numFmtId="169" formatCode="[$$-540A]#,##0_ ;\-[$$-540A]#,##0\ "/>
    <numFmt numFmtId="170" formatCode="[$$-540A]#,##0"/>
  </numFmts>
  <fonts count="7" x14ac:knownFonts="1">
    <font>
      <sz val="11"/>
      <color theme="1"/>
      <name val="Calibri"/>
      <family val="2"/>
      <scheme val="minor"/>
    </font>
    <font>
      <b/>
      <sz val="11"/>
      <color theme="1"/>
      <name val="Calibri"/>
      <family val="2"/>
      <scheme val="minor"/>
    </font>
    <font>
      <sz val="8"/>
      <name val="Calibri"/>
      <family val="2"/>
      <scheme val="minor"/>
    </font>
    <font>
      <sz val="18"/>
      <color theme="1"/>
      <name val="Aptos ExtraBold"/>
      <family val="2"/>
    </font>
    <font>
      <sz val="10"/>
      <color theme="1"/>
      <name val="Calibri"/>
      <family val="2"/>
      <scheme val="minor"/>
    </font>
    <font>
      <b/>
      <sz val="10"/>
      <color theme="1"/>
      <name val="Calibri"/>
      <family val="2"/>
      <scheme val="minor"/>
    </font>
    <font>
      <b/>
      <sz val="28"/>
      <color theme="1" tint="0.249977111117893"/>
      <name val="Calibri"/>
      <family val="2"/>
      <scheme val="min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1">
    <xf numFmtId="0" fontId="0" fillId="0" borderId="0"/>
  </cellStyleXfs>
  <cellXfs count="44">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0" fontId="0" fillId="4" borderId="0" xfId="0" applyFill="1" applyAlignment="1">
      <alignment horizontal="left"/>
    </xf>
    <xf numFmtId="0" fontId="0" fillId="0" borderId="0" xfId="0" applyAlignment="1">
      <alignment horizontal="left" indent="1"/>
    </xf>
    <xf numFmtId="168" fontId="0" fillId="0" borderId="0" xfId="0" applyNumberFormat="1"/>
    <xf numFmtId="169" fontId="0" fillId="0" borderId="0" xfId="0" applyNumberFormat="1"/>
    <xf numFmtId="170" fontId="0" fillId="0" borderId="0" xfId="0" applyNumberFormat="1"/>
    <xf numFmtId="166" fontId="4" fillId="5" borderId="0" xfId="0" applyNumberFormat="1" applyFont="1" applyFill="1"/>
    <xf numFmtId="0" fontId="0" fillId="5" borderId="9" xfId="0" applyFill="1" applyBorder="1"/>
    <xf numFmtId="166" fontId="4" fillId="5" borderId="11" xfId="0" applyNumberFormat="1" applyFont="1" applyFill="1" applyBorder="1"/>
    <xf numFmtId="166" fontId="4" fillId="5" borderId="12" xfId="0" applyNumberFormat="1" applyFont="1" applyFill="1" applyBorder="1"/>
    <xf numFmtId="166" fontId="4" fillId="5" borderId="6" xfId="0" applyNumberFormat="1" applyFont="1" applyFill="1" applyBorder="1"/>
    <xf numFmtId="166" fontId="4" fillId="5" borderId="13" xfId="0" applyNumberFormat="1" applyFont="1" applyFill="1" applyBorder="1"/>
    <xf numFmtId="166" fontId="4" fillId="5" borderId="4" xfId="0" applyNumberFormat="1" applyFont="1" applyFill="1" applyBorder="1"/>
    <xf numFmtId="0" fontId="1" fillId="5" borderId="10" xfId="0" applyFont="1" applyFill="1" applyBorder="1" applyAlignment="1">
      <alignment horizontal="right" vertical="center"/>
    </xf>
    <xf numFmtId="166" fontId="5" fillId="5" borderId="11" xfId="0" applyNumberFormat="1" applyFont="1" applyFill="1" applyBorder="1"/>
    <xf numFmtId="0" fontId="1" fillId="5" borderId="7" xfId="0" applyFont="1" applyFill="1" applyBorder="1" applyAlignment="1">
      <alignment horizontal="right"/>
    </xf>
    <xf numFmtId="0" fontId="6" fillId="3" borderId="0" xfId="0" applyFont="1" applyFill="1"/>
  </cellXfs>
  <cellStyles count="1">
    <cellStyle name="Normal" xfId="0" builtinId="0"/>
  </cellStyles>
  <dxfs count="34">
    <dxf>
      <fill>
        <patternFill>
          <bgColor theme="4" tint="0.59996337778862885"/>
        </patternFill>
      </fill>
      <border>
        <left style="thin">
          <color theme="1" tint="0.34998626667073579"/>
        </left>
        <right style="thin">
          <color theme="1" tint="0.34998626667073579"/>
        </right>
        <vertical/>
        <horizontal/>
      </border>
    </dxf>
    <dxf>
      <numFmt numFmtId="169" formatCode="[$$-540A]#,##0_ ;\-[$$-540A]#,##0\ "/>
    </dxf>
    <dxf>
      <numFmt numFmtId="168" formatCode="[$$-409]#,##0_ ;\-[$$-409]#,##0\ "/>
    </dxf>
    <dxf>
      <fill>
        <patternFill patternType="solid">
          <bgColor rgb="FFFFFF00"/>
        </patternFill>
      </fill>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70" formatCode="[$$-540A]#,##0"/>
    </dxf>
    <dxf>
      <numFmt numFmtId="170" formatCode="[$$-540A]#,##0"/>
    </dxf>
    <dxf>
      <numFmt numFmtId="170" formatCode="[$$-540A]#,##0"/>
    </dxf>
    <dxf>
      <numFmt numFmtId="170" formatCode="[$$-540A]#,##0"/>
    </dxf>
    <dxf>
      <numFmt numFmtId="170" formatCode="[$$-540A]#,##0"/>
    </dxf>
    <dxf>
      <numFmt numFmtId="170" formatCode="[$$-540A]#,##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4"/>
        </bottom>
        <vertical/>
        <horizontal/>
      </border>
    </dxf>
    <dxf>
      <font>
        <color theme="1"/>
      </font>
      <border>
        <left style="thin">
          <color theme="1"/>
        </left>
        <right style="thin">
          <color theme="1"/>
        </right>
        <top style="thin">
          <color theme="1"/>
        </top>
        <bottom style="thin">
          <color theme="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33"/>
    </tableStyle>
    <tableStyle name="SlicerStyleLight1 2" pivot="0" table="0" count="10" xr9:uid="{1F915CDA-B257-4D0D-BE86-642A3FFA9B80}">
      <tableStyleElement type="wholeTable" dxfId="32"/>
      <tableStyleElement type="headerRow" dxfId="31"/>
    </tableStyle>
  </tableStyles>
  <colors>
    <mruColors>
      <color rgb="FFF6870C"/>
      <color rgb="FFF89D0A"/>
      <color rgb="FF2733C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1499679555650502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theme" Target="theme/theme1.xml"/><Relationship Id="rId23" Type="http://schemas.microsoft.com/office/2022/10/relationships/richValueRel" Target="richData/richValueRel.xml"/><Relationship Id="rId10" Type="http://schemas.openxmlformats.org/officeDocument/2006/relationships/pivotCacheDefinition" Target="pivotCache/pivotCacheDefinition7.xml"/><Relationship Id="rId19"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[07.sample-data-excel-portfolio-project.xlsx]Sheet3!weekday trend</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318700209800129"/>
          <c:y val="6.1217371184979004E-2"/>
          <c:w val="0.65681299790199865"/>
          <c:h val="0.87756525763004201"/>
        </c:manualLayout>
      </c:layout>
      <c:barChart>
        <c:barDir val="bar"/>
        <c:grouping val="clustered"/>
        <c:varyColors val="0"/>
        <c:ser>
          <c:idx val="0"/>
          <c:order val="0"/>
          <c:tx>
            <c:strRef>
              <c:f>Sheet3!$H$32</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Sheet3!$G$33:$G$40</c:f>
              <c:strCache>
                <c:ptCount val="7"/>
                <c:pt idx="0">
                  <c:v>Sunday</c:v>
                </c:pt>
                <c:pt idx="1">
                  <c:v>Monday</c:v>
                </c:pt>
                <c:pt idx="2">
                  <c:v>Tuesday</c:v>
                </c:pt>
                <c:pt idx="3">
                  <c:v>Wednesday</c:v>
                </c:pt>
                <c:pt idx="4">
                  <c:v>Thursday</c:v>
                </c:pt>
                <c:pt idx="5">
                  <c:v>Friday</c:v>
                </c:pt>
                <c:pt idx="6">
                  <c:v>Saturday</c:v>
                </c:pt>
              </c:strCache>
            </c:strRef>
          </c:cat>
          <c:val>
            <c:numRef>
              <c:f>Sheet3!$H$33:$H$40</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2D12-4C29-BCFA-5BE6EAA0F9F5}"/>
            </c:ext>
          </c:extLst>
        </c:ser>
        <c:dLbls>
          <c:showLegendKey val="0"/>
          <c:showVal val="0"/>
          <c:showCatName val="0"/>
          <c:showSerName val="0"/>
          <c:showPercent val="0"/>
          <c:showBubbleSize val="0"/>
        </c:dLbls>
        <c:gapWidth val="30"/>
        <c:axId val="2020453728"/>
        <c:axId val="2020458528"/>
      </c:barChart>
      <c:catAx>
        <c:axId val="20204537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458528"/>
        <c:crosses val="autoZero"/>
        <c:auto val="1"/>
        <c:lblAlgn val="ctr"/>
        <c:lblOffset val="100"/>
        <c:noMultiLvlLbl val="0"/>
      </c:catAx>
      <c:valAx>
        <c:axId val="2020458528"/>
        <c:scaling>
          <c:orientation val="minMax"/>
        </c:scaling>
        <c:delete val="1"/>
        <c:axPos val="b"/>
        <c:numFmt formatCode="#,##0" sourceLinked="1"/>
        <c:majorTickMark val="out"/>
        <c:minorTickMark val="none"/>
        <c:tickLblPos val="nextTo"/>
        <c:crossAx val="202045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[07.sample-data-excel-portfolio-project.xlsx]Sheet3!Monthly trend</c:name>
    <c:fmtId val="10"/>
  </c:pivotSource>
  <c:chart>
    <c:title>
      <c:tx>
        <c:rich>
          <a:bodyPr rot="0" spcFirstLastPara="1" vertOverflow="ellipsis" vert="horz" wrap="square" anchor="ctr" anchorCtr="1"/>
          <a:lstStyle/>
          <a:p>
            <a:pPr>
              <a:defRPr sz="2200" b="0" i="0" u="none" strike="noStrike" kern="1200" spc="0" baseline="0">
                <a:solidFill>
                  <a:srgbClr val="FFC000"/>
                </a:solidFill>
                <a:latin typeface="+mn-lt"/>
                <a:ea typeface="+mn-ea"/>
                <a:cs typeface="+mn-cs"/>
              </a:defRPr>
            </a:pPr>
            <a:r>
              <a:rPr lang="en-IN" sz="2200">
                <a:solidFill>
                  <a:srgbClr val="FFC000"/>
                </a:solidFill>
              </a:rPr>
              <a:t> </a:t>
            </a:r>
            <a:r>
              <a:rPr lang="en-IN" sz="2200" b="1">
                <a:solidFill>
                  <a:srgbClr val="FFC000"/>
                </a:solidFill>
              </a:rPr>
              <a:t>Call</a:t>
            </a:r>
            <a:r>
              <a:rPr lang="en-IN" sz="2200" baseline="0">
                <a:solidFill>
                  <a:srgbClr val="FFC000"/>
                </a:solidFill>
              </a:rPr>
              <a:t> </a:t>
            </a:r>
            <a:r>
              <a:rPr lang="en-IN" sz="2200" b="1" baseline="0">
                <a:solidFill>
                  <a:srgbClr val="FFC000"/>
                </a:solidFill>
              </a:rPr>
              <a:t>Trend</a:t>
            </a:r>
            <a:endParaRPr lang="en-IN" sz="2200" b="1">
              <a:solidFill>
                <a:srgbClr val="FFC000"/>
              </a:solidFill>
            </a:endParaRPr>
          </a:p>
        </c:rich>
      </c:tx>
      <c:layout>
        <c:manualLayout>
          <c:xMode val="edge"/>
          <c:yMode val="edge"/>
          <c:x val="5.0253321004736659E-2"/>
          <c:y val="2.2978331498021039E-2"/>
        </c:manualLayout>
      </c:layout>
      <c:overlay val="0"/>
      <c:spPr>
        <a:noFill/>
        <a:ln>
          <a:noFill/>
        </a:ln>
        <a:effectLst/>
      </c:spPr>
      <c:txPr>
        <a:bodyPr rot="0" spcFirstLastPara="1" vertOverflow="ellipsis" vert="horz" wrap="square" anchor="ctr" anchorCtr="1"/>
        <a:lstStyle/>
        <a:p>
          <a:pPr>
            <a:defRPr sz="2200" b="0" i="0" u="none" strike="noStrike" kern="1200" spc="0" baseline="0">
              <a:solidFill>
                <a:srgbClr val="FFC000"/>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a:gsLst>
              <a:gs pos="33000">
                <a:schemeClr val="accent1">
                  <a:lumMod val="60000"/>
                  <a:lumOff val="40000"/>
                </a:schemeClr>
              </a:gs>
              <a:gs pos="73000">
                <a:schemeClr val="accent1">
                  <a:lumMod val="27000"/>
                  <a:lumOff val="73000"/>
                </a:schemeClr>
              </a:gs>
              <a:gs pos="100000">
                <a:schemeClr val="accent1">
                  <a:lumMod val="5000"/>
                  <a:lumOff val="95000"/>
                </a:schemeClr>
              </a:gs>
              <a:gs pos="0">
                <a:schemeClr val="accent1"/>
              </a:gs>
            </a:gsLst>
            <a:lin ang="5400000" scaled="1"/>
          </a:gra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C000"/>
            </a:solidFill>
            <a:round/>
          </a:ln>
          <a:effectLst/>
        </c:spPr>
        <c:marker>
          <c:symbol val="circle"/>
          <c:size val="5"/>
          <c:spPr>
            <a:solidFill>
              <a:schemeClr val="bg1"/>
            </a:solidFill>
            <a:ln w="1270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Sheet3!$D$25</c:f>
              <c:strCache>
                <c:ptCount val="1"/>
                <c:pt idx="0">
                  <c:v>Call Count2</c:v>
                </c:pt>
              </c:strCache>
            </c:strRef>
          </c:tx>
          <c:spPr>
            <a:gradFill>
              <a:gsLst>
                <a:gs pos="33000">
                  <a:schemeClr val="accent1">
                    <a:lumMod val="60000"/>
                    <a:lumOff val="40000"/>
                  </a:schemeClr>
                </a:gs>
                <a:gs pos="73000">
                  <a:schemeClr val="accent1">
                    <a:lumMod val="27000"/>
                    <a:lumOff val="73000"/>
                  </a:schemeClr>
                </a:gs>
                <a:gs pos="100000">
                  <a:schemeClr val="accent1">
                    <a:lumMod val="5000"/>
                    <a:lumOff val="95000"/>
                  </a:schemeClr>
                </a:gs>
                <a:gs pos="0">
                  <a:schemeClr val="accent1"/>
                </a:gs>
              </a:gsLst>
              <a:lin ang="5400000" scaled="1"/>
            </a:gradFill>
            <a:ln>
              <a:solidFill>
                <a:schemeClr val="accent1"/>
              </a:solidFill>
            </a:ln>
            <a:effectLst/>
          </c:spPr>
          <c:cat>
            <c:strRef>
              <c:f>Sheet3!$B$26:$B$38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Sheet3!$D$26:$D$38</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32AB-4A87-8CB8-DB4510ECF778}"/>
            </c:ext>
          </c:extLst>
        </c:ser>
        <c:dLbls>
          <c:showLegendKey val="0"/>
          <c:showVal val="0"/>
          <c:showCatName val="0"/>
          <c:showSerName val="0"/>
          <c:showPercent val="0"/>
          <c:showBubbleSize val="0"/>
        </c:dLbls>
        <c:axId val="2020448928"/>
        <c:axId val="2020436448"/>
      </c:areaChart>
      <c:lineChart>
        <c:grouping val="standard"/>
        <c:varyColors val="0"/>
        <c:ser>
          <c:idx val="0"/>
          <c:order val="0"/>
          <c:tx>
            <c:strRef>
              <c:f>Sheet3!$C$25</c:f>
              <c:strCache>
                <c:ptCount val="1"/>
                <c:pt idx="0">
                  <c:v>Call Count</c:v>
                </c:pt>
              </c:strCache>
            </c:strRef>
          </c:tx>
          <c:spPr>
            <a:ln w="28575" cap="rnd">
              <a:solidFill>
                <a:srgbClr val="FFC000"/>
              </a:solidFill>
              <a:round/>
            </a:ln>
            <a:effectLst/>
          </c:spPr>
          <c:marker>
            <c:symbol val="circle"/>
            <c:size val="5"/>
            <c:spPr>
              <a:solidFill>
                <a:schemeClr val="bg1"/>
              </a:solidFill>
              <a:ln w="12700">
                <a:solidFill>
                  <a:schemeClr val="tx1">
                    <a:lumMod val="85000"/>
                    <a:lumOff val="15000"/>
                  </a:schemeClr>
                </a:solidFill>
              </a:ln>
              <a:effectLst/>
            </c:spPr>
          </c:marker>
          <c:cat>
            <c:strRef>
              <c:f>Sheet3!$B$26:$B$38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Sheet3!$C$26:$C$38</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32AB-4A87-8CB8-DB4510ECF778}"/>
            </c:ext>
          </c:extLst>
        </c:ser>
        <c:dLbls>
          <c:showLegendKey val="0"/>
          <c:showVal val="0"/>
          <c:showCatName val="0"/>
          <c:showSerName val="0"/>
          <c:showPercent val="0"/>
          <c:showBubbleSize val="0"/>
        </c:dLbls>
        <c:marker val="1"/>
        <c:smooth val="0"/>
        <c:axId val="2020448928"/>
        <c:axId val="2020436448"/>
      </c:lineChart>
      <c:catAx>
        <c:axId val="202044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436448"/>
        <c:crosses val="autoZero"/>
        <c:auto val="1"/>
        <c:lblAlgn val="ctr"/>
        <c:lblOffset val="100"/>
        <c:noMultiLvlLbl val="0"/>
      </c:catAx>
      <c:valAx>
        <c:axId val="20204364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448928"/>
        <c:crosses val="autoZero"/>
        <c:crossBetween val="between"/>
      </c:valAx>
      <c:spPr>
        <a:noFill/>
        <a:ln>
          <a:noFill/>
        </a:ln>
        <a:effectLst/>
      </c:spPr>
    </c:plotArea>
    <c:legend>
      <c:legendPos val="r"/>
      <c:overlay val="0"/>
      <c:spPr>
        <a:solidFill>
          <a:schemeClr val="bg1">
            <a:lumMod val="95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Calls</a:t>
            </a:r>
          </a:p>
        </c:rich>
      </c:tx>
      <c:layout>
        <c:manualLayout>
          <c:xMode val="edge"/>
          <c:yMode val="edge"/>
          <c:x val="5.5288408722585641E-2"/>
          <c:y val="2.9117229001917972E-3"/>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684004288357757"/>
          <c:y val="6.8127872315482327E-2"/>
          <c:w val="0.71961644587404916"/>
          <c:h val="0.93089480944853531"/>
        </c:manualLayout>
      </c:layout>
      <c:barChart>
        <c:barDir val="bar"/>
        <c:grouping val="clustered"/>
        <c:varyColors val="0"/>
        <c:ser>
          <c:idx val="0"/>
          <c:order val="0"/>
          <c:spPr>
            <a:solidFill>
              <a:schemeClr val="accent1"/>
            </a:solidFill>
            <a:ln>
              <a:noFill/>
            </a:ln>
            <a:effectLst/>
          </c:spPr>
          <c:invertIfNegative val="0"/>
          <c:dLbls>
            <c:dLbl>
              <c:idx val="0"/>
              <c:layout>
                <c:manualLayout>
                  <c:x val="-1.0106516052986254E-2"/>
                  <c:y val="4.835445155968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C80-4D75-9E6B-289BA5CB5F33}"/>
                </c:ext>
              </c:extLst>
            </c:dLbl>
            <c:dLbl>
              <c:idx val="1"/>
              <c:layout>
                <c:manualLayout>
                  <c:x val="-1.8048185817147528E-2"/>
                  <c:y val="4.747964335528121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80-4D75-9E6B-289BA5CB5F33}"/>
                </c:ext>
              </c:extLst>
            </c:dLbl>
            <c:dLbl>
              <c:idx val="2"/>
              <c:layout>
                <c:manualLayout>
                  <c:x val="-1.1242041527348087E-2"/>
                  <c:y val="2.6272414111955711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C80-4D75-9E6B-289BA5CB5F33}"/>
                </c:ext>
              </c:extLst>
            </c:dLbl>
            <c:dLbl>
              <c:idx val="3"/>
              <c:layout>
                <c:manualLayout>
                  <c:x val="-1.0106516052986254E-2"/>
                  <c:y val="8.7697024759096341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C80-4D75-9E6B-289BA5CB5F33}"/>
                </c:ext>
              </c:extLst>
            </c:dLbl>
            <c:dLbl>
              <c:idx val="4"/>
              <c:layout>
                <c:manualLayout>
                  <c:x val="-1.1242041527348087E-2"/>
                  <c:y val="4.835078222810620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C80-4D75-9E6B-289BA5CB5F33}"/>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Sheet3!$M$16:$M$20</c:f>
              <c:strCache>
                <c:ptCount val="5"/>
                <c:pt idx="0">
                  <c:v>R01</c:v>
                </c:pt>
                <c:pt idx="1">
                  <c:v>R02</c:v>
                </c:pt>
                <c:pt idx="2">
                  <c:v>R03</c:v>
                </c:pt>
                <c:pt idx="3">
                  <c:v>R04</c:v>
                </c:pt>
                <c:pt idx="4">
                  <c:v>R05</c:v>
                </c:pt>
              </c:strCache>
            </c:strRef>
          </c:cat>
          <c:val>
            <c:numRef>
              <c:f>Sheet3!$N$16:$N$20</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5-2C80-4D75-9E6B-289BA5CB5F33}"/>
            </c:ext>
          </c:extLst>
        </c:ser>
        <c:ser>
          <c:idx val="1"/>
          <c:order val="1"/>
          <c:tx>
            <c:strRef>
              <c:f>Sheet3!$P$15</c:f>
              <c:strCache>
                <c:ptCount val="1"/>
                <c:pt idx="0">
                  <c:v>Sel.calls</c:v>
                </c:pt>
              </c:strCache>
            </c:strRef>
          </c:tx>
          <c:spPr>
            <a:gradFill>
              <a:gsLst>
                <a:gs pos="0">
                  <a:schemeClr val="accent1"/>
                </a:gs>
                <a:gs pos="55000">
                  <a:schemeClr val="accent1">
                    <a:lumMod val="45000"/>
                    <a:lumOff val="55000"/>
                  </a:schemeClr>
                </a:gs>
                <a:gs pos="100000">
                  <a:schemeClr val="accent1">
                    <a:lumMod val="20000"/>
                    <a:lumOff val="80000"/>
                  </a:schemeClr>
                </a:gs>
              </a:gsLst>
              <a:lin ang="12000000" scaled="0"/>
            </a:gradFill>
            <a:ln>
              <a:noFill/>
            </a:ln>
            <a:effectLst/>
          </c:spPr>
          <c:invertIfNegative val="0"/>
          <c:val>
            <c:numRef>
              <c:f>Sheet3!$P$16:$P$20</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6-2C80-4D75-9E6B-289BA5CB5F33}"/>
            </c:ext>
          </c:extLst>
        </c:ser>
        <c:dLbls>
          <c:showLegendKey val="0"/>
          <c:showVal val="0"/>
          <c:showCatName val="0"/>
          <c:showSerName val="0"/>
          <c:showPercent val="0"/>
          <c:showBubbleSize val="0"/>
        </c:dLbls>
        <c:gapWidth val="30"/>
        <c:overlap val="100"/>
        <c:axId val="2020437888"/>
        <c:axId val="2020435968"/>
      </c:barChart>
      <c:catAx>
        <c:axId val="2020437888"/>
        <c:scaling>
          <c:orientation val="maxMin"/>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20435968"/>
        <c:crosses val="autoZero"/>
        <c:auto val="1"/>
        <c:lblAlgn val="ctr"/>
        <c:lblOffset val="100"/>
        <c:noMultiLvlLbl val="0"/>
      </c:catAx>
      <c:valAx>
        <c:axId val="2020435968"/>
        <c:scaling>
          <c:orientation val="minMax"/>
          <c:min val="0"/>
        </c:scaling>
        <c:delete val="1"/>
        <c:axPos val="t"/>
        <c:majorGridlines>
          <c:spPr>
            <a:ln w="9525" cap="flat" cmpd="sng" algn="ctr">
              <a:noFill/>
              <a:round/>
            </a:ln>
            <a:effectLst/>
          </c:spPr>
        </c:majorGridlines>
        <c:numFmt formatCode="General" sourceLinked="1"/>
        <c:majorTickMark val="out"/>
        <c:minorTickMark val="none"/>
        <c:tickLblPos val="nextTo"/>
        <c:crossAx val="202043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a:t> </a:t>
            </a:r>
            <a:r>
              <a:rPr lang="en-IN" sz="1600" b="1"/>
              <a:t>Amount</a:t>
            </a:r>
          </a:p>
        </c:rich>
      </c:tx>
      <c:layout>
        <c:manualLayout>
          <c:xMode val="edge"/>
          <c:yMode val="edge"/>
          <c:x val="2.8426469743530844E-2"/>
          <c:y val="0"/>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889551246446817E-2"/>
          <c:y val="4.8405278164577945E-2"/>
          <c:w val="0.96574810012247048"/>
          <c:h val="0.95143034586894459"/>
        </c:manualLayout>
      </c:layout>
      <c:barChart>
        <c:barDir val="bar"/>
        <c:grouping val="clustered"/>
        <c:varyColors val="0"/>
        <c:ser>
          <c:idx val="0"/>
          <c:order val="0"/>
          <c:spPr>
            <a:solidFill>
              <a:schemeClr val="accent1"/>
            </a:solidFill>
            <a:ln>
              <a:noFill/>
            </a:ln>
            <a:effectLst/>
          </c:spPr>
          <c:invertIfNegative val="0"/>
          <c:dLbls>
            <c:dLbl>
              <c:idx val="0"/>
              <c:layout>
                <c:manualLayout>
                  <c:x val="-4.3573241212571223E-2"/>
                  <c:y val="9.3442086561044135E-3"/>
                </c:manualLayout>
              </c:layout>
              <c:showLegendKey val="0"/>
              <c:showVal val="1"/>
              <c:showCatName val="0"/>
              <c:showSerName val="0"/>
              <c:showPercent val="0"/>
              <c:showBubbleSize val="0"/>
              <c:extLst>
                <c:ext xmlns:c15="http://schemas.microsoft.com/office/drawing/2012/chart" uri="{CE6537A1-D6FC-4f65-9D91-7224C49458BB}">
                  <c15:layout>
                    <c:manualLayout>
                      <c:w val="0.26498905462275235"/>
                      <c:h val="0.10277287389267008"/>
                    </c:manualLayout>
                  </c15:layout>
                </c:ext>
                <c:ext xmlns:c16="http://schemas.microsoft.com/office/drawing/2014/chart" uri="{C3380CC4-5D6E-409C-BE32-E72D297353CC}">
                  <c16:uniqueId val="{00000000-4142-4E31-8E79-E5363FB26DF8}"/>
                </c:ext>
              </c:extLst>
            </c:dLbl>
            <c:dLbl>
              <c:idx val="1"/>
              <c:layout>
                <c:manualLayout>
                  <c:x val="-3.0776544520633331E-2"/>
                  <c:y val="6.8390831229246394E-3"/>
                </c:manualLayout>
              </c:layout>
              <c:showLegendKey val="0"/>
              <c:showVal val="1"/>
              <c:showCatName val="0"/>
              <c:showSerName val="0"/>
              <c:showPercent val="0"/>
              <c:showBubbleSize val="0"/>
              <c:extLst>
                <c:ext xmlns:c15="http://schemas.microsoft.com/office/drawing/2012/chart" uri="{CE6537A1-D6FC-4f65-9D91-7224C49458BB}">
                  <c15:layout>
                    <c:manualLayout>
                      <c:w val="0.25348905122708204"/>
                      <c:h val="0.10277287389267008"/>
                    </c:manualLayout>
                  </c15:layout>
                </c:ext>
                <c:ext xmlns:c16="http://schemas.microsoft.com/office/drawing/2014/chart" uri="{C3380CC4-5D6E-409C-BE32-E72D297353CC}">
                  <c16:uniqueId val="{00000001-4142-4E31-8E79-E5363FB26DF8}"/>
                </c:ext>
              </c:extLst>
            </c:dLbl>
            <c:dLbl>
              <c:idx val="2"/>
              <c:layout>
                <c:manualLayout>
                  <c:x val="-1.7144060180332835E-2"/>
                  <c:y val="-2.7994057320074477E-3"/>
                </c:manualLayout>
              </c:layout>
              <c:showLegendKey val="0"/>
              <c:showVal val="1"/>
              <c:showCatName val="0"/>
              <c:showSerName val="0"/>
              <c:showPercent val="0"/>
              <c:showBubbleSize val="0"/>
              <c:extLst>
                <c:ext xmlns:c15="http://schemas.microsoft.com/office/drawing/2012/chart" uri="{CE6537A1-D6FC-4f65-9D91-7224C49458BB}">
                  <c15:layout>
                    <c:manualLayout>
                      <c:w val="0.24198904783141176"/>
                      <c:h val="0.10277287389267008"/>
                    </c:manualLayout>
                  </c15:layout>
                </c:ext>
                <c:ext xmlns:c16="http://schemas.microsoft.com/office/drawing/2014/chart" uri="{C3380CC4-5D6E-409C-BE32-E72D297353CC}">
                  <c16:uniqueId val="{00000002-4142-4E31-8E79-E5363FB26DF8}"/>
                </c:ext>
              </c:extLst>
            </c:dLbl>
            <c:dLbl>
              <c:idx val="3"/>
              <c:layout>
                <c:manualLayout>
                  <c:x val="-3.1893946425377878E-2"/>
                  <c:y val="5.7560528760626862E-3"/>
                </c:manualLayout>
              </c:layout>
              <c:showLegendKey val="0"/>
              <c:showVal val="1"/>
              <c:showCatName val="0"/>
              <c:showSerName val="0"/>
              <c:showPercent val="0"/>
              <c:showBubbleSize val="0"/>
              <c:extLst>
                <c:ext xmlns:c15="http://schemas.microsoft.com/office/drawing/2012/chart" uri="{CE6537A1-D6FC-4f65-9D91-7224C49458BB}">
                  <c15:layout>
                    <c:manualLayout>
                      <c:w val="0.27648905801842266"/>
                      <c:h val="0.10277287389267008"/>
                    </c:manualLayout>
                  </c15:layout>
                </c:ext>
                <c:ext xmlns:c16="http://schemas.microsoft.com/office/drawing/2014/chart" uri="{C3380CC4-5D6E-409C-BE32-E72D297353CC}">
                  <c16:uniqueId val="{00000003-4142-4E31-8E79-E5363FB26DF8}"/>
                </c:ext>
              </c:extLst>
            </c:dLbl>
            <c:dLbl>
              <c:idx val="4"/>
              <c:layout>
                <c:manualLayout>
                  <c:x val="-3.2670875788644423E-2"/>
                  <c:y val="-1.4211063466194086E-3"/>
                </c:manualLayout>
              </c:layout>
              <c:showLegendKey val="0"/>
              <c:showVal val="1"/>
              <c:showCatName val="0"/>
              <c:showSerName val="0"/>
              <c:showPercent val="0"/>
              <c:showBubbleSize val="0"/>
              <c:extLst>
                <c:ext xmlns:c15="http://schemas.microsoft.com/office/drawing/2012/chart" uri="{CE6537A1-D6FC-4f65-9D91-7224C49458BB}">
                  <c15:layout>
                    <c:manualLayout>
                      <c:w val="0.26498905462275235"/>
                      <c:h val="0.10277287389267008"/>
                    </c:manualLayout>
                  </c15:layout>
                </c:ext>
                <c:ext xmlns:c16="http://schemas.microsoft.com/office/drawing/2014/chart" uri="{C3380CC4-5D6E-409C-BE32-E72D297353CC}">
                  <c16:uniqueId val="{00000004-4142-4E31-8E79-E5363FB26DF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Sheet3!$M$16:$M$20</c:f>
              <c:strCache>
                <c:ptCount val="5"/>
                <c:pt idx="0">
                  <c:v>R01</c:v>
                </c:pt>
                <c:pt idx="1">
                  <c:v>R02</c:v>
                </c:pt>
                <c:pt idx="2">
                  <c:v>R03</c:v>
                </c:pt>
                <c:pt idx="3">
                  <c:v>R04</c:v>
                </c:pt>
                <c:pt idx="4">
                  <c:v>R05</c:v>
                </c:pt>
              </c:strCache>
            </c:strRef>
          </c:cat>
          <c:val>
            <c:numRef>
              <c:f>Sheet3!$O$16:$O$20</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5-4142-4E31-8E79-E5363FB26DF8}"/>
            </c:ext>
          </c:extLst>
        </c:ser>
        <c:ser>
          <c:idx val="1"/>
          <c:order val="1"/>
          <c:tx>
            <c:strRef>
              <c:f>Sheet3!$Q$15</c:f>
              <c:strCache>
                <c:ptCount val="1"/>
                <c:pt idx="0">
                  <c:v>sel. Amount</c:v>
                </c:pt>
              </c:strCache>
            </c:strRef>
          </c:tx>
          <c:spPr>
            <a:gradFill>
              <a:gsLst>
                <a:gs pos="0">
                  <a:schemeClr val="accent2"/>
                </a:gs>
                <a:gs pos="55000">
                  <a:schemeClr val="accent2">
                    <a:lumMod val="40000"/>
                    <a:lumOff val="60000"/>
                  </a:schemeClr>
                </a:gs>
                <a:gs pos="100000">
                  <a:schemeClr val="accent2">
                    <a:lumMod val="20000"/>
                    <a:lumOff val="80000"/>
                  </a:schemeClr>
                </a:gs>
              </a:gsLst>
              <a:lin ang="12000000" scaled="0"/>
            </a:gradFill>
            <a:ln>
              <a:noFill/>
            </a:ln>
            <a:effectLst/>
          </c:spPr>
          <c:invertIfNegative val="0"/>
          <c:dLbls>
            <c:delete val="1"/>
          </c:dLbls>
          <c:val>
            <c:numRef>
              <c:f>Sheet3!$Q$16:$Q$20</c:f>
              <c:numCache>
                <c:formatCode>General</c:formatCode>
                <c:ptCount val="5"/>
                <c:pt idx="0">
                  <c:v>#N/A</c:v>
                </c:pt>
                <c:pt idx="1">
                  <c:v>#N/A</c:v>
                </c:pt>
                <c:pt idx="2">
                  <c:v>#N/A</c:v>
                </c:pt>
                <c:pt idx="3">
                  <c:v>#N/A</c:v>
                </c:pt>
                <c:pt idx="4">
                  <c:v>20104</c:v>
                </c:pt>
              </c:numCache>
            </c:numRef>
          </c:val>
          <c:extLst>
            <c:ext xmlns:c16="http://schemas.microsoft.com/office/drawing/2014/chart" uri="{C3380CC4-5D6E-409C-BE32-E72D297353CC}">
              <c16:uniqueId val="{00000006-4142-4E31-8E79-E5363FB26DF8}"/>
            </c:ext>
          </c:extLst>
        </c:ser>
        <c:dLbls>
          <c:showLegendKey val="0"/>
          <c:showVal val="1"/>
          <c:showCatName val="0"/>
          <c:showSerName val="0"/>
          <c:showPercent val="0"/>
          <c:showBubbleSize val="0"/>
        </c:dLbls>
        <c:gapWidth val="40"/>
        <c:overlap val="100"/>
        <c:axId val="62668144"/>
        <c:axId val="62684944"/>
      </c:barChart>
      <c:catAx>
        <c:axId val="62668144"/>
        <c:scaling>
          <c:orientation val="maxMin"/>
        </c:scaling>
        <c:delete val="1"/>
        <c:axPos val="l"/>
        <c:numFmt formatCode="General" sourceLinked="1"/>
        <c:majorTickMark val="none"/>
        <c:minorTickMark val="none"/>
        <c:tickLblPos val="nextTo"/>
        <c:crossAx val="62684944"/>
        <c:crosses val="autoZero"/>
        <c:auto val="1"/>
        <c:lblAlgn val="ctr"/>
        <c:lblOffset val="100"/>
        <c:noMultiLvlLbl val="0"/>
      </c:catAx>
      <c:valAx>
        <c:axId val="62684944"/>
        <c:scaling>
          <c:orientation val="minMax"/>
        </c:scaling>
        <c:delete val="1"/>
        <c:axPos val="t"/>
        <c:majorGridlines>
          <c:spPr>
            <a:ln w="9525" cap="flat" cmpd="sng" algn="ctr">
              <a:noFill/>
              <a:round/>
            </a:ln>
            <a:effectLst/>
          </c:spPr>
        </c:majorGridlines>
        <c:numFmt formatCode="\$#,###.0,&quot;k&quot;" sourceLinked="1"/>
        <c:majorTickMark val="none"/>
        <c:minorTickMark val="none"/>
        <c:tickLblPos val="nextTo"/>
        <c:crossAx val="626681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[07.sample-data-excel-portfolio-project.xlsx]Sheet3!PivotTable2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
            </a:r>
            <a:r>
              <a:rPr lang="en-IN" sz="1800" b="1">
                <a:solidFill>
                  <a:srgbClr val="FFC000"/>
                </a:solidFill>
              </a:rPr>
              <a:t>Female</a:t>
            </a:r>
            <a:r>
              <a:rPr lang="en-IN" sz="1800" b="1" baseline="0"/>
              <a:t> vs. </a:t>
            </a:r>
            <a:r>
              <a:rPr lang="en-IN" sz="1800" b="1" baseline="0">
                <a:solidFill>
                  <a:schemeClr val="accent4"/>
                </a:solidFill>
              </a:rPr>
              <a:t>Male</a:t>
            </a:r>
            <a:r>
              <a:rPr lang="en-IN" sz="1800" b="1" baseline="0"/>
              <a:t> Callers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solidFill>
              <a:schemeClr val="accent1">
                <a:lumMod val="60000"/>
                <a:lumOff val="40000"/>
                <a:alpha val="7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rgbClr val="F6870C"/>
          </a:solidFill>
          <a:ln>
            <a:noFill/>
          </a:ln>
          <a:effectLst/>
        </c:spPr>
        <c:marker>
          <c:symbol val="none"/>
        </c:marker>
        <c:dLbl>
          <c:idx val="0"/>
          <c:spPr>
            <a:solidFill>
              <a:schemeClr val="accent2">
                <a:alpha val="7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Sheet3!$C$50:$C$51</c:f>
              <c:strCache>
                <c:ptCount val="1"/>
                <c:pt idx="0">
                  <c:v>Female</c:v>
                </c:pt>
              </c:strCache>
            </c:strRef>
          </c:tx>
          <c:spPr>
            <a:solidFill>
              <a:srgbClr val="FFC000"/>
            </a:solidFill>
            <a:ln>
              <a:noFill/>
            </a:ln>
            <a:effectLst/>
          </c:spPr>
          <c:invertIfNegative val="0"/>
          <c:dLbls>
            <c:spPr>
              <a:solidFill>
                <a:schemeClr val="accent1">
                  <a:lumMod val="60000"/>
                  <a:lumOff val="40000"/>
                  <a:alpha val="7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Sheet3!$B$52:$B$55</c:f>
              <c:strCache>
                <c:ptCount val="3"/>
                <c:pt idx="0">
                  <c:v>Cincinnati</c:v>
                </c:pt>
                <c:pt idx="1">
                  <c:v>Cleveland</c:v>
                </c:pt>
                <c:pt idx="2">
                  <c:v>Columbus</c:v>
                </c:pt>
              </c:strCache>
            </c:strRef>
          </c:cat>
          <c:val>
            <c:numRef>
              <c:f>Sheet3!$C$52:$C$55</c:f>
              <c:numCache>
                <c:formatCode>General</c:formatCode>
                <c:ptCount val="3"/>
                <c:pt idx="0">
                  <c:v>144</c:v>
                </c:pt>
                <c:pt idx="1">
                  <c:v>326</c:v>
                </c:pt>
                <c:pt idx="2">
                  <c:v>129</c:v>
                </c:pt>
              </c:numCache>
            </c:numRef>
          </c:val>
          <c:extLst>
            <c:ext xmlns:c16="http://schemas.microsoft.com/office/drawing/2014/chart" uri="{C3380CC4-5D6E-409C-BE32-E72D297353CC}">
              <c16:uniqueId val="{00000000-1DC9-4BBA-BEDE-591D751AAC51}"/>
            </c:ext>
          </c:extLst>
        </c:ser>
        <c:ser>
          <c:idx val="1"/>
          <c:order val="1"/>
          <c:tx>
            <c:strRef>
              <c:f>Sheet3!$D$50:$D$51</c:f>
              <c:strCache>
                <c:ptCount val="1"/>
                <c:pt idx="0">
                  <c:v>Male</c:v>
                </c:pt>
              </c:strCache>
            </c:strRef>
          </c:tx>
          <c:spPr>
            <a:solidFill>
              <a:srgbClr val="F6870C"/>
            </a:solidFill>
            <a:ln>
              <a:noFill/>
            </a:ln>
            <a:effectLst/>
          </c:spPr>
          <c:invertIfNegative val="0"/>
          <c:dLbls>
            <c:spPr>
              <a:solidFill>
                <a:schemeClr val="accent2">
                  <a:alpha val="7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Sheet3!$B$52:$B$55</c:f>
              <c:strCache>
                <c:ptCount val="3"/>
                <c:pt idx="0">
                  <c:v>Cincinnati</c:v>
                </c:pt>
                <c:pt idx="1">
                  <c:v>Cleveland</c:v>
                </c:pt>
                <c:pt idx="2">
                  <c:v>Columbus</c:v>
                </c:pt>
              </c:strCache>
            </c:strRef>
          </c:cat>
          <c:val>
            <c:numRef>
              <c:f>Sheet3!$D$52:$D$55</c:f>
              <c:numCache>
                <c:formatCode>General</c:formatCode>
                <c:ptCount val="3"/>
                <c:pt idx="0">
                  <c:v>132</c:v>
                </c:pt>
                <c:pt idx="1">
                  <c:v>63</c:v>
                </c:pt>
                <c:pt idx="2">
                  <c:v>206</c:v>
                </c:pt>
              </c:numCache>
            </c:numRef>
          </c:val>
          <c:extLst>
            <c:ext xmlns:c16="http://schemas.microsoft.com/office/drawing/2014/chart" uri="{C3380CC4-5D6E-409C-BE32-E72D297353CC}">
              <c16:uniqueId val="{00000001-1DC9-4BBA-BEDE-591D751AAC51}"/>
            </c:ext>
          </c:extLst>
        </c:ser>
        <c:dLbls>
          <c:showLegendKey val="0"/>
          <c:showVal val="0"/>
          <c:showCatName val="0"/>
          <c:showSerName val="0"/>
          <c:showPercent val="0"/>
          <c:showBubbleSize val="0"/>
        </c:dLbls>
        <c:gapWidth val="50"/>
        <c:overlap val="100"/>
        <c:axId val="575469936"/>
        <c:axId val="575473776"/>
      </c:barChart>
      <c:catAx>
        <c:axId val="575469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473776"/>
        <c:crosses val="autoZero"/>
        <c:auto val="1"/>
        <c:lblAlgn val="ctr"/>
        <c:lblOffset val="100"/>
        <c:noMultiLvlLbl val="0"/>
      </c:catAx>
      <c:valAx>
        <c:axId val="575473776"/>
        <c:scaling>
          <c:orientation val="minMax"/>
        </c:scaling>
        <c:delete val="1"/>
        <c:axPos val="l"/>
        <c:numFmt formatCode="0%" sourceLinked="1"/>
        <c:majorTickMark val="out"/>
        <c:minorTickMark val="none"/>
        <c:tickLblPos val="nextTo"/>
        <c:crossAx val="57546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[07.sample-data-excel-portfolio-project.xlsx]Sheet3!rep satisfaction</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Rating</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Sheet3!$J$59</c:f>
              <c:strCache>
                <c:ptCount val="1"/>
                <c:pt idx="0">
                  <c:v>Total</c:v>
                </c:pt>
              </c:strCache>
            </c:strRef>
          </c:tx>
          <c:spPr>
            <a:solidFill>
              <a:schemeClr val="accent1"/>
            </a:solidFill>
            <a:ln>
              <a:noFill/>
            </a:ln>
            <a:effectLst/>
          </c:spPr>
          <c:invertIfNegative val="0"/>
          <c:cat>
            <c:strRef>
              <c:f>Sheet3!$I$60:$I$64</c:f>
              <c:strCache>
                <c:ptCount val="4"/>
                <c:pt idx="0">
                  <c:v>2</c:v>
                </c:pt>
                <c:pt idx="1">
                  <c:v>3</c:v>
                </c:pt>
                <c:pt idx="2">
                  <c:v>4</c:v>
                </c:pt>
                <c:pt idx="3">
                  <c:v>5</c:v>
                </c:pt>
              </c:strCache>
            </c:strRef>
          </c:cat>
          <c:val>
            <c:numRef>
              <c:f>Sheet3!$J$60:$J$64</c:f>
              <c:numCache>
                <c:formatCode>#,##0</c:formatCode>
                <c:ptCount val="4"/>
                <c:pt idx="0">
                  <c:v>10</c:v>
                </c:pt>
                <c:pt idx="1">
                  <c:v>44</c:v>
                </c:pt>
                <c:pt idx="2">
                  <c:v>95</c:v>
                </c:pt>
                <c:pt idx="3">
                  <c:v>51</c:v>
                </c:pt>
              </c:numCache>
            </c:numRef>
          </c:val>
          <c:extLst>
            <c:ext xmlns:c16="http://schemas.microsoft.com/office/drawing/2014/chart" uri="{C3380CC4-5D6E-409C-BE32-E72D297353CC}">
              <c16:uniqueId val="{00000000-2196-4C0B-BA9C-C0BFD5DAEF91}"/>
            </c:ext>
          </c:extLst>
        </c:ser>
        <c:dLbls>
          <c:showLegendKey val="0"/>
          <c:showVal val="0"/>
          <c:showCatName val="0"/>
          <c:showSerName val="0"/>
          <c:showPercent val="0"/>
          <c:showBubbleSize val="0"/>
        </c:dLbls>
        <c:gapWidth val="30"/>
        <c:overlap val="-27"/>
        <c:axId val="433904000"/>
        <c:axId val="433912640"/>
      </c:barChart>
      <c:catAx>
        <c:axId val="433904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912640"/>
        <c:crosses val="autoZero"/>
        <c:auto val="1"/>
        <c:lblAlgn val="ctr"/>
        <c:lblOffset val="100"/>
        <c:noMultiLvlLbl val="0"/>
      </c:catAx>
      <c:valAx>
        <c:axId val="433912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90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03937007874015E-2"/>
          <c:y val="0.14856481481481484"/>
          <c:w val="0.87029396325459318"/>
          <c:h val="0.72088764946048411"/>
        </c:manualLayout>
      </c:layout>
      <c:barChart>
        <c:barDir val="bar"/>
        <c:grouping val="clustered"/>
        <c:varyColors val="0"/>
        <c:ser>
          <c:idx val="0"/>
          <c:order val="0"/>
          <c:spPr>
            <a:solidFill>
              <a:schemeClr val="accent1"/>
            </a:solidFill>
            <a:ln>
              <a:noFill/>
            </a:ln>
            <a:effectLst/>
          </c:spPr>
          <c:invertIfNegative val="0"/>
          <c:dLbls>
            <c:dLbl>
              <c:idx val="0"/>
              <c:layout>
                <c:manualLayout>
                  <c:x val="-1.0106516052986254E-2"/>
                  <c:y val="4.835445155968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F67-426D-A585-5EB9652BC916}"/>
                </c:ext>
              </c:extLst>
            </c:dLbl>
            <c:dLbl>
              <c:idx val="1"/>
              <c:layout>
                <c:manualLayout>
                  <c:x val="-1.0106516052986396E-2"/>
                  <c:y val="4.747748131209426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F67-426D-A585-5EB9652BC916}"/>
                </c:ext>
              </c:extLst>
            </c:dLbl>
            <c:dLbl>
              <c:idx val="2"/>
              <c:layout>
                <c:manualLayout>
                  <c:x val="-1.1242041527348087E-2"/>
                  <c:y val="2.6272414111955711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F67-426D-A585-5EB9652BC916}"/>
                </c:ext>
              </c:extLst>
            </c:dLbl>
            <c:dLbl>
              <c:idx val="3"/>
              <c:layout>
                <c:manualLayout>
                  <c:x val="-1.0106516052986254E-2"/>
                  <c:y val="8.7697024759096341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F67-426D-A585-5EB9652BC916}"/>
                </c:ext>
              </c:extLst>
            </c:dLbl>
            <c:dLbl>
              <c:idx val="4"/>
              <c:layout>
                <c:manualLayout>
                  <c:x val="-1.1242041527348087E-2"/>
                  <c:y val="4.835078222810620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F67-426D-A585-5EB9652BC9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Sheet3!$M$16:$M$20</c:f>
              <c:strCache>
                <c:ptCount val="5"/>
                <c:pt idx="0">
                  <c:v>R01</c:v>
                </c:pt>
                <c:pt idx="1">
                  <c:v>R02</c:v>
                </c:pt>
                <c:pt idx="2">
                  <c:v>R03</c:v>
                </c:pt>
                <c:pt idx="3">
                  <c:v>R04</c:v>
                </c:pt>
                <c:pt idx="4">
                  <c:v>R05</c:v>
                </c:pt>
              </c:strCache>
            </c:strRef>
          </c:cat>
          <c:val>
            <c:numRef>
              <c:f>Sheet3!$N$16:$N$20</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5-2F67-426D-A585-5EB9652BC916}"/>
            </c:ext>
          </c:extLst>
        </c:ser>
        <c:ser>
          <c:idx val="1"/>
          <c:order val="1"/>
          <c:tx>
            <c:strRef>
              <c:f>Sheet3!$P$15</c:f>
              <c:strCache>
                <c:ptCount val="1"/>
                <c:pt idx="0">
                  <c:v>Sel.calls</c:v>
                </c:pt>
              </c:strCache>
            </c:strRef>
          </c:tx>
          <c:spPr>
            <a:gradFill>
              <a:gsLst>
                <a:gs pos="0">
                  <a:schemeClr val="accent1"/>
                </a:gs>
                <a:gs pos="55000">
                  <a:schemeClr val="accent1">
                    <a:lumMod val="45000"/>
                    <a:lumOff val="55000"/>
                  </a:schemeClr>
                </a:gs>
                <a:gs pos="100000">
                  <a:schemeClr val="accent1">
                    <a:lumMod val="20000"/>
                    <a:lumOff val="80000"/>
                  </a:schemeClr>
                </a:gs>
              </a:gsLst>
              <a:lin ang="12000000" scaled="0"/>
            </a:gradFill>
            <a:ln>
              <a:noFill/>
            </a:ln>
            <a:effectLst/>
          </c:spPr>
          <c:invertIfNegative val="0"/>
          <c:val>
            <c:numRef>
              <c:f>Sheet3!$P$16:$P$20</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6-2F67-426D-A585-5EB9652BC916}"/>
            </c:ext>
          </c:extLst>
        </c:ser>
        <c:dLbls>
          <c:showLegendKey val="0"/>
          <c:showVal val="0"/>
          <c:showCatName val="0"/>
          <c:showSerName val="0"/>
          <c:showPercent val="0"/>
          <c:showBubbleSize val="0"/>
        </c:dLbls>
        <c:gapWidth val="35"/>
        <c:overlap val="100"/>
        <c:axId val="2020437888"/>
        <c:axId val="2020435968"/>
      </c:barChart>
      <c:catAx>
        <c:axId val="2020437888"/>
        <c:scaling>
          <c:orientation val="maxMin"/>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435968"/>
        <c:crosses val="autoZero"/>
        <c:auto val="1"/>
        <c:lblAlgn val="ctr"/>
        <c:lblOffset val="100"/>
        <c:noMultiLvlLbl val="0"/>
      </c:catAx>
      <c:valAx>
        <c:axId val="2020435968"/>
        <c:scaling>
          <c:orientation val="minMax"/>
          <c:min val="0"/>
        </c:scaling>
        <c:delete val="1"/>
        <c:axPos val="t"/>
        <c:majorGridlines>
          <c:spPr>
            <a:ln w="9525" cap="flat" cmpd="sng" algn="ctr">
              <a:noFill/>
              <a:round/>
            </a:ln>
            <a:effectLst/>
          </c:spPr>
        </c:majorGridlines>
        <c:numFmt formatCode="General" sourceLinked="1"/>
        <c:majorTickMark val="out"/>
        <c:minorTickMark val="none"/>
        <c:tickLblPos val="nextTo"/>
        <c:crossAx val="202043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609753859504464E-2"/>
          <c:y val="6.9815562310297744E-2"/>
          <c:w val="0.88941833135174742"/>
          <c:h val="0.89760384194489662"/>
        </c:manualLayout>
      </c:layout>
      <c:barChart>
        <c:barDir val="bar"/>
        <c:grouping val="clustered"/>
        <c:varyColors val="0"/>
        <c:ser>
          <c:idx val="0"/>
          <c:order val="0"/>
          <c:spPr>
            <a:solidFill>
              <a:schemeClr val="accent1"/>
            </a:solidFill>
            <a:ln>
              <a:noFill/>
            </a:ln>
            <a:effectLst/>
          </c:spPr>
          <c:invertIfNegative val="0"/>
          <c:dLbls>
            <c:dLbl>
              <c:idx val="0"/>
              <c:layout>
                <c:manualLayout>
                  <c:x val="1.3926977894047836E-2"/>
                  <c:y val="9.343814100771952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56-4C41-AC77-3E28D4E93C59}"/>
                </c:ext>
              </c:extLst>
            </c:dLbl>
            <c:dLbl>
              <c:idx val="1"/>
              <c:layout>
                <c:manualLayout>
                  <c:x val="1.6712373472857527E-2"/>
                  <c:y val="1.4015721151157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556-4C41-AC77-3E28D4E93C59}"/>
                </c:ext>
              </c:extLst>
            </c:dLbl>
            <c:dLbl>
              <c:idx val="2"/>
              <c:layout>
                <c:manualLayout>
                  <c:x val="1.6651401821604843E-2"/>
                  <c:y val="1.87310364717757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556-4C41-AC77-3E28D4E93C59}"/>
                </c:ext>
              </c:extLst>
            </c:dLbl>
            <c:dLbl>
              <c:idx val="3"/>
              <c:layout>
                <c:manualLayout>
                  <c:x val="8.3561867364287633E-3"/>
                  <c:y val="9.343814100772016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556-4C41-AC77-3E28D4E93C59}"/>
                </c:ext>
              </c:extLst>
            </c:dLbl>
            <c:dLbl>
              <c:idx val="4"/>
              <c:layout>
                <c:manualLayout>
                  <c:x val="1.1141582315238249E-2"/>
                  <c:y val="9.343814100772103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556-4C41-AC77-3E28D4E93C5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Sheet3!$M$16:$M$20</c:f>
              <c:strCache>
                <c:ptCount val="5"/>
                <c:pt idx="0">
                  <c:v>R01</c:v>
                </c:pt>
                <c:pt idx="1">
                  <c:v>R02</c:v>
                </c:pt>
                <c:pt idx="2">
                  <c:v>R03</c:v>
                </c:pt>
                <c:pt idx="3">
                  <c:v>R04</c:v>
                </c:pt>
                <c:pt idx="4">
                  <c:v>R05</c:v>
                </c:pt>
              </c:strCache>
            </c:strRef>
          </c:cat>
          <c:val>
            <c:numRef>
              <c:f>Sheet3!$O$16:$O$20</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5-5556-4C41-AC77-3E28D4E93C59}"/>
            </c:ext>
          </c:extLst>
        </c:ser>
        <c:ser>
          <c:idx val="1"/>
          <c:order val="1"/>
          <c:tx>
            <c:strRef>
              <c:f>Sheet3!$Q$15</c:f>
              <c:strCache>
                <c:ptCount val="1"/>
                <c:pt idx="0">
                  <c:v>sel. Amount</c:v>
                </c:pt>
              </c:strCache>
            </c:strRef>
          </c:tx>
          <c:spPr>
            <a:gradFill>
              <a:gsLst>
                <a:gs pos="0">
                  <a:schemeClr val="accent2"/>
                </a:gs>
                <a:gs pos="55000">
                  <a:schemeClr val="accent2">
                    <a:lumMod val="40000"/>
                    <a:lumOff val="60000"/>
                  </a:schemeClr>
                </a:gs>
                <a:gs pos="100000">
                  <a:schemeClr val="accent2">
                    <a:lumMod val="20000"/>
                    <a:lumOff val="80000"/>
                  </a:schemeClr>
                </a:gs>
              </a:gsLst>
              <a:lin ang="12000000" scaled="0"/>
            </a:gradFill>
            <a:ln>
              <a:noFill/>
            </a:ln>
            <a:effectLst/>
          </c:spPr>
          <c:invertIfNegative val="0"/>
          <c:dLbls>
            <c:delete val="1"/>
          </c:dLbls>
          <c:val>
            <c:numRef>
              <c:f>Sheet3!$Q$16:$Q$20</c:f>
              <c:numCache>
                <c:formatCode>General</c:formatCode>
                <c:ptCount val="5"/>
                <c:pt idx="0">
                  <c:v>#N/A</c:v>
                </c:pt>
                <c:pt idx="1">
                  <c:v>#N/A</c:v>
                </c:pt>
                <c:pt idx="2">
                  <c:v>#N/A</c:v>
                </c:pt>
                <c:pt idx="3">
                  <c:v>#N/A</c:v>
                </c:pt>
                <c:pt idx="4">
                  <c:v>20104</c:v>
                </c:pt>
              </c:numCache>
            </c:numRef>
          </c:val>
          <c:extLst>
            <c:ext xmlns:c16="http://schemas.microsoft.com/office/drawing/2014/chart" uri="{C3380CC4-5D6E-409C-BE32-E72D297353CC}">
              <c16:uniqueId val="{00000006-5556-4C41-AC77-3E28D4E93C59}"/>
            </c:ext>
          </c:extLst>
        </c:ser>
        <c:dLbls>
          <c:showLegendKey val="0"/>
          <c:showVal val="1"/>
          <c:showCatName val="0"/>
          <c:showSerName val="0"/>
          <c:showPercent val="0"/>
          <c:showBubbleSize val="0"/>
        </c:dLbls>
        <c:gapWidth val="70"/>
        <c:overlap val="100"/>
        <c:axId val="62668144"/>
        <c:axId val="62684944"/>
      </c:barChart>
      <c:catAx>
        <c:axId val="62668144"/>
        <c:scaling>
          <c:orientation val="maxMin"/>
        </c:scaling>
        <c:delete val="1"/>
        <c:axPos val="l"/>
        <c:numFmt formatCode="General" sourceLinked="1"/>
        <c:majorTickMark val="none"/>
        <c:minorTickMark val="none"/>
        <c:tickLblPos val="nextTo"/>
        <c:crossAx val="62684944"/>
        <c:crosses val="autoZero"/>
        <c:auto val="1"/>
        <c:lblAlgn val="ctr"/>
        <c:lblOffset val="100"/>
        <c:noMultiLvlLbl val="0"/>
      </c:catAx>
      <c:valAx>
        <c:axId val="62684944"/>
        <c:scaling>
          <c:orientation val="minMax"/>
        </c:scaling>
        <c:delete val="1"/>
        <c:axPos val="t"/>
        <c:majorGridlines>
          <c:spPr>
            <a:ln w="9525" cap="flat" cmpd="sng" algn="ctr">
              <a:noFill/>
              <a:round/>
            </a:ln>
            <a:effectLst/>
          </c:spPr>
        </c:majorGridlines>
        <c:numFmt formatCode="\$#,###.0,&quot;k&quot;" sourceLinked="1"/>
        <c:majorTickMark val="none"/>
        <c:minorTickMark val="none"/>
        <c:tickLblPos val="nextTo"/>
        <c:crossAx val="626681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2.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5.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11</xdr:col>
      <xdr:colOff>102549</xdr:colOff>
      <xdr:row>19</xdr:row>
      <xdr:rowOff>0</xdr:rowOff>
    </xdr:from>
    <xdr:to>
      <xdr:col>13</xdr:col>
      <xdr:colOff>389853</xdr:colOff>
      <xdr:row>31</xdr:row>
      <xdr:rowOff>97357</xdr:rowOff>
    </xdr:to>
    <mc:AlternateContent xmlns:mc="http://schemas.openxmlformats.org/markup-compatibility/2006" xmlns:a14="http://schemas.microsoft.com/office/drawing/2010/main">
      <mc:Choice Requires="a14">
        <xdr:graphicFrame macro="">
          <xdr:nvGraphicFramePr>
            <xdr:cNvPr id="45" name="Representative">
              <a:extLst>
                <a:ext uri="{FF2B5EF4-FFF2-40B4-BE49-F238E27FC236}">
                  <a16:creationId xmlns:a16="http://schemas.microsoft.com/office/drawing/2014/main" id="{E4B2C4CE-F972-453C-8804-B069705E1238}"/>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872626" y="3590192"/>
              <a:ext cx="1518227" cy="2207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19611</xdr:colOff>
      <xdr:row>2</xdr:row>
      <xdr:rowOff>86710</xdr:rowOff>
    </xdr:from>
    <xdr:to>
      <xdr:col>13</xdr:col>
      <xdr:colOff>338667</xdr:colOff>
      <xdr:row>14</xdr:row>
      <xdr:rowOff>131380</xdr:rowOff>
    </xdr:to>
    <xdr:graphicFrame macro="">
      <xdr:nvGraphicFramePr>
        <xdr:cNvPr id="47" name="Chart 46">
          <a:extLst>
            <a:ext uri="{FF2B5EF4-FFF2-40B4-BE49-F238E27FC236}">
              <a16:creationId xmlns:a16="http://schemas.microsoft.com/office/drawing/2014/main" id="{0C8D4303-01DF-4751-ADCE-088E27EDE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273408</xdr:colOff>
      <xdr:row>2</xdr:row>
      <xdr:rowOff>28114</xdr:rowOff>
    </xdr:from>
    <xdr:to>
      <xdr:col>2</xdr:col>
      <xdr:colOff>364848</xdr:colOff>
      <xdr:row>7</xdr:row>
      <xdr:rowOff>28114</xdr:rowOff>
    </xdr:to>
    <xdr:sp macro="" textlink="Sheet3!A4">
      <xdr:nvSpPr>
        <xdr:cNvPr id="2" name="Rectangle 1">
          <a:extLst>
            <a:ext uri="{FF2B5EF4-FFF2-40B4-BE49-F238E27FC236}">
              <a16:creationId xmlns:a16="http://schemas.microsoft.com/office/drawing/2014/main" id="{9E344428-BD33-D18F-CDD7-C15CDF79ED29}"/>
            </a:ext>
          </a:extLst>
        </xdr:cNvPr>
        <xdr:cNvSpPr/>
      </xdr:nvSpPr>
      <xdr:spPr>
        <a:xfrm>
          <a:off x="273408" y="402430"/>
          <a:ext cx="1321335" cy="935789"/>
        </a:xfrm>
        <a:prstGeom prst="rect">
          <a:avLst/>
        </a:prstGeom>
        <a:effectLst>
          <a:outerShdw blurRad="190500" dist="889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B80A6D-E5E4-4921-BA24-CD8957835D1E}" type="TxLink">
            <a:rPr lang="en-US" sz="2800" b="1" i="0" u="none" strike="noStrike">
              <a:solidFill>
                <a:srgbClr val="000000"/>
              </a:solidFill>
              <a:latin typeface="Calibri"/>
              <a:ea typeface="Calibri"/>
              <a:cs typeface="Calibri"/>
            </a:rPr>
            <a:pPr algn="ctr"/>
            <a:t>1,000</a:t>
          </a:fld>
          <a:endParaRPr lang="en-IN" sz="6000" b="1"/>
        </a:p>
      </xdr:txBody>
    </xdr:sp>
    <xdr:clientData/>
  </xdr:twoCellAnchor>
  <xdr:twoCellAnchor>
    <xdr:from>
      <xdr:col>0</xdr:col>
      <xdr:colOff>324000</xdr:colOff>
      <xdr:row>2</xdr:row>
      <xdr:rowOff>108236</xdr:rowOff>
    </xdr:from>
    <xdr:to>
      <xdr:col>2</xdr:col>
      <xdr:colOff>278280</xdr:colOff>
      <xdr:row>3</xdr:row>
      <xdr:rowOff>96693</xdr:rowOff>
    </xdr:to>
    <xdr:sp macro="" textlink="">
      <xdr:nvSpPr>
        <xdr:cNvPr id="3" name="TextBox 2">
          <a:extLst>
            <a:ext uri="{FF2B5EF4-FFF2-40B4-BE49-F238E27FC236}">
              <a16:creationId xmlns:a16="http://schemas.microsoft.com/office/drawing/2014/main" id="{420A1DCF-6444-7E5C-6B03-0EC003B37DB7}"/>
            </a:ext>
          </a:extLst>
        </xdr:cNvPr>
        <xdr:cNvSpPr txBox="1"/>
      </xdr:nvSpPr>
      <xdr:spPr>
        <a:xfrm>
          <a:off x="324000" y="478939"/>
          <a:ext cx="1169361" cy="173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tx1"/>
              </a:solidFill>
            </a:rPr>
            <a:t>Calls</a:t>
          </a:r>
          <a:endParaRPr lang="en-IN" sz="1400" b="1">
            <a:solidFill>
              <a:schemeClr val="tx1"/>
            </a:solidFill>
          </a:endParaRPr>
        </a:p>
      </xdr:txBody>
    </xdr:sp>
    <xdr:clientData/>
  </xdr:twoCellAnchor>
  <xdr:twoCellAnchor editAs="oneCell">
    <xdr:from>
      <xdr:col>0</xdr:col>
      <xdr:colOff>415029</xdr:colOff>
      <xdr:row>2</xdr:row>
      <xdr:rowOff>69274</xdr:rowOff>
    </xdr:from>
    <xdr:to>
      <xdr:col>1</xdr:col>
      <xdr:colOff>67318</xdr:colOff>
      <xdr:row>3</xdr:row>
      <xdr:rowOff>144046</xdr:rowOff>
    </xdr:to>
    <xdr:pic>
      <xdr:nvPicPr>
        <xdr:cNvPr id="4" name="Graphic 3" descr="Receiver with solid fill">
          <a:extLst>
            <a:ext uri="{FF2B5EF4-FFF2-40B4-BE49-F238E27FC236}">
              <a16:creationId xmlns:a16="http://schemas.microsoft.com/office/drawing/2014/main" id="{A1D0D673-BD6F-47ED-985F-7485506C97A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15029" y="430221"/>
          <a:ext cx="263894" cy="255246"/>
        </a:xfrm>
        <a:prstGeom prst="rect">
          <a:avLst/>
        </a:prstGeom>
      </xdr:spPr>
    </xdr:pic>
    <xdr:clientData/>
  </xdr:twoCellAnchor>
  <xdr:twoCellAnchor>
    <xdr:from>
      <xdr:col>0</xdr:col>
      <xdr:colOff>435051</xdr:colOff>
      <xdr:row>5</xdr:row>
      <xdr:rowOff>160452</xdr:rowOff>
    </xdr:from>
    <xdr:to>
      <xdr:col>2</xdr:col>
      <xdr:colOff>153985</xdr:colOff>
      <xdr:row>6</xdr:row>
      <xdr:rowOff>166698</xdr:rowOff>
    </xdr:to>
    <xdr:sp macro="" textlink="Sheet3!A12">
      <xdr:nvSpPr>
        <xdr:cNvPr id="5" name="TextBox 4">
          <a:extLst>
            <a:ext uri="{FF2B5EF4-FFF2-40B4-BE49-F238E27FC236}">
              <a16:creationId xmlns:a16="http://schemas.microsoft.com/office/drawing/2014/main" id="{219E4B43-80FE-73DC-0E0C-69B07F5D6810}"/>
            </a:ext>
          </a:extLst>
        </xdr:cNvPr>
        <xdr:cNvSpPr txBox="1"/>
      </xdr:nvSpPr>
      <xdr:spPr>
        <a:xfrm>
          <a:off x="435051" y="1087209"/>
          <a:ext cx="934015" cy="191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AC741A-84F9-4863-8D2E-892169FEE36D}" type="TxLink">
            <a:rPr lang="en-US" sz="1100" b="1" i="1" u="none" strike="noStrike">
              <a:solidFill>
                <a:srgbClr val="000000"/>
              </a:solidFill>
              <a:latin typeface="Calibri"/>
              <a:ea typeface="Calibri"/>
              <a:cs typeface="Calibri"/>
            </a:rPr>
            <a:pPr algn="ctr"/>
            <a:t>200</a:t>
          </a:fld>
          <a:endParaRPr lang="en-IN" sz="1100" b="1" i="1" u="none"/>
        </a:p>
      </xdr:txBody>
    </xdr:sp>
    <xdr:clientData/>
  </xdr:twoCellAnchor>
  <xdr:twoCellAnchor>
    <xdr:from>
      <xdr:col>0</xdr:col>
      <xdr:colOff>272670</xdr:colOff>
      <xdr:row>9</xdr:row>
      <xdr:rowOff>1712</xdr:rowOff>
    </xdr:from>
    <xdr:to>
      <xdr:col>2</xdr:col>
      <xdr:colOff>364110</xdr:colOff>
      <xdr:row>14</xdr:row>
      <xdr:rowOff>1712</xdr:rowOff>
    </xdr:to>
    <xdr:sp macro="" textlink="Sheet3!B4">
      <xdr:nvSpPr>
        <xdr:cNvPr id="20" name="Rectangle 19">
          <a:extLst>
            <a:ext uri="{FF2B5EF4-FFF2-40B4-BE49-F238E27FC236}">
              <a16:creationId xmlns:a16="http://schemas.microsoft.com/office/drawing/2014/main" id="{1270FCDB-E97C-4084-925B-723F460229DD}"/>
            </a:ext>
          </a:extLst>
        </xdr:cNvPr>
        <xdr:cNvSpPr/>
      </xdr:nvSpPr>
      <xdr:spPr>
        <a:xfrm>
          <a:off x="272670" y="1779712"/>
          <a:ext cx="1315258" cy="923636"/>
        </a:xfrm>
        <a:prstGeom prst="rect">
          <a:avLst/>
        </a:prstGeom>
        <a:effectLst>
          <a:outerShdw blurRad="190500" dist="889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C3FA5C2-763C-4C5A-9C6C-572814C1C405}" type="TxLink">
            <a:rPr lang="en-US" sz="2400" b="1" i="0" u="none" strike="noStrike">
              <a:solidFill>
                <a:srgbClr val="000000"/>
              </a:solidFill>
              <a:latin typeface="Calibri"/>
              <a:ea typeface="Calibri"/>
              <a:cs typeface="Calibri"/>
            </a:rPr>
            <a:pPr algn="ctr"/>
            <a:t>$96,623 </a:t>
          </a:fld>
          <a:endParaRPr lang="en-IN" sz="5400" b="1"/>
        </a:p>
      </xdr:txBody>
    </xdr:sp>
    <xdr:clientData/>
  </xdr:twoCellAnchor>
  <xdr:twoCellAnchor>
    <xdr:from>
      <xdr:col>0</xdr:col>
      <xdr:colOff>417554</xdr:colOff>
      <xdr:row>9</xdr:row>
      <xdr:rowOff>77912</xdr:rowOff>
    </xdr:from>
    <xdr:to>
      <xdr:col>2</xdr:col>
      <xdr:colOff>371834</xdr:colOff>
      <xdr:row>10</xdr:row>
      <xdr:rowOff>70293</xdr:rowOff>
    </xdr:to>
    <xdr:sp macro="" textlink="">
      <xdr:nvSpPr>
        <xdr:cNvPr id="21" name="TextBox 20">
          <a:extLst>
            <a:ext uri="{FF2B5EF4-FFF2-40B4-BE49-F238E27FC236}">
              <a16:creationId xmlns:a16="http://schemas.microsoft.com/office/drawing/2014/main" id="{EF3E0DA3-819F-46E3-B0FD-2E0B4AF1C18A}"/>
            </a:ext>
          </a:extLst>
        </xdr:cNvPr>
        <xdr:cNvSpPr txBox="1"/>
      </xdr:nvSpPr>
      <xdr:spPr>
        <a:xfrm>
          <a:off x="417554" y="1737106"/>
          <a:ext cx="1171022" cy="176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tx1"/>
              </a:solidFill>
            </a:rPr>
            <a:t>Amount</a:t>
          </a:r>
          <a:endParaRPr lang="en-IN" sz="1400" b="1">
            <a:solidFill>
              <a:schemeClr val="tx1"/>
            </a:solidFill>
          </a:endParaRPr>
        </a:p>
      </xdr:txBody>
    </xdr:sp>
    <xdr:clientData/>
  </xdr:twoCellAnchor>
  <xdr:twoCellAnchor>
    <xdr:from>
      <xdr:col>0</xdr:col>
      <xdr:colOff>461008</xdr:colOff>
      <xdr:row>12</xdr:row>
      <xdr:rowOff>130130</xdr:rowOff>
    </xdr:from>
    <xdr:to>
      <xdr:col>2</xdr:col>
      <xdr:colOff>184254</xdr:colOff>
      <xdr:row>13</xdr:row>
      <xdr:rowOff>136375</xdr:rowOff>
    </xdr:to>
    <xdr:sp macro="" textlink="Sheet3!B12">
      <xdr:nvSpPr>
        <xdr:cNvPr id="23" name="TextBox 22">
          <a:extLst>
            <a:ext uri="{FF2B5EF4-FFF2-40B4-BE49-F238E27FC236}">
              <a16:creationId xmlns:a16="http://schemas.microsoft.com/office/drawing/2014/main" id="{5252D6D2-BD84-4BA9-AF24-52EACBD8560B}"/>
            </a:ext>
          </a:extLst>
        </xdr:cNvPr>
        <xdr:cNvSpPr txBox="1"/>
      </xdr:nvSpPr>
      <xdr:spPr>
        <a:xfrm>
          <a:off x="461008" y="2354346"/>
          <a:ext cx="938327" cy="191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7985C4-5BD9-4DB5-873F-366A5B1F2B39}" type="TxLink">
            <a:rPr lang="en-US" sz="1100" b="1" i="1" u="none" strike="noStrike">
              <a:solidFill>
                <a:srgbClr val="000000"/>
              </a:solidFill>
              <a:latin typeface="Calibri"/>
              <a:ea typeface="Calibri"/>
              <a:cs typeface="Calibri"/>
            </a:rPr>
            <a:pPr algn="ctr"/>
            <a:t>$20,104 </a:t>
          </a:fld>
          <a:endParaRPr lang="en-IN" sz="1100" b="1" i="1" u="none"/>
        </a:p>
      </xdr:txBody>
    </xdr:sp>
    <xdr:clientData/>
  </xdr:twoCellAnchor>
  <xdr:twoCellAnchor>
    <xdr:from>
      <xdr:col>0</xdr:col>
      <xdr:colOff>274947</xdr:colOff>
      <xdr:row>15</xdr:row>
      <xdr:rowOff>170181</xdr:rowOff>
    </xdr:from>
    <xdr:to>
      <xdr:col>2</xdr:col>
      <xdr:colOff>366387</xdr:colOff>
      <xdr:row>20</xdr:row>
      <xdr:rowOff>170181</xdr:rowOff>
    </xdr:to>
    <xdr:sp macro="" textlink="Sheet3!C4">
      <xdr:nvSpPr>
        <xdr:cNvPr id="24" name="Rectangle 23">
          <a:extLst>
            <a:ext uri="{FF2B5EF4-FFF2-40B4-BE49-F238E27FC236}">
              <a16:creationId xmlns:a16="http://schemas.microsoft.com/office/drawing/2014/main" id="{921D3333-F376-4617-B751-63F60957BBA9}"/>
            </a:ext>
          </a:extLst>
        </xdr:cNvPr>
        <xdr:cNvSpPr/>
      </xdr:nvSpPr>
      <xdr:spPr>
        <a:xfrm>
          <a:off x="274947" y="2925104"/>
          <a:ext cx="1310640" cy="918308"/>
        </a:xfrm>
        <a:prstGeom prst="rect">
          <a:avLst/>
        </a:prstGeom>
        <a:effectLst>
          <a:outerShdw blurRad="190500" dist="889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DA15237-53BE-4364-8DF9-764D9265A94D}" type="TxLink">
            <a:rPr lang="en-US" sz="2400" b="1" i="0" u="none" strike="noStrike">
              <a:solidFill>
                <a:srgbClr val="000000"/>
              </a:solidFill>
              <a:latin typeface="Calibri"/>
              <a:ea typeface="Calibri"/>
              <a:cs typeface="Calibri"/>
            </a:rPr>
            <a:pPr algn="ctr"/>
            <a:t>89,850</a:t>
          </a:fld>
          <a:endParaRPr lang="en-IN" sz="5400" b="1"/>
        </a:p>
      </xdr:txBody>
    </xdr:sp>
    <xdr:clientData/>
  </xdr:twoCellAnchor>
  <xdr:twoCellAnchor>
    <xdr:from>
      <xdr:col>0</xdr:col>
      <xdr:colOff>389933</xdr:colOff>
      <xdr:row>16</xdr:row>
      <xdr:rowOff>61029</xdr:rowOff>
    </xdr:from>
    <xdr:to>
      <xdr:col>2</xdr:col>
      <xdr:colOff>344213</xdr:colOff>
      <xdr:row>17</xdr:row>
      <xdr:rowOff>53410</xdr:rowOff>
    </xdr:to>
    <xdr:sp macro="" textlink="">
      <xdr:nvSpPr>
        <xdr:cNvPr id="25" name="TextBox 24">
          <a:extLst>
            <a:ext uri="{FF2B5EF4-FFF2-40B4-BE49-F238E27FC236}">
              <a16:creationId xmlns:a16="http://schemas.microsoft.com/office/drawing/2014/main" id="{82E01870-8AE9-4BAA-8845-13FC9C1BA621}"/>
            </a:ext>
          </a:extLst>
        </xdr:cNvPr>
        <xdr:cNvSpPr txBox="1"/>
      </xdr:nvSpPr>
      <xdr:spPr>
        <a:xfrm>
          <a:off x="389933" y="2980240"/>
          <a:ext cx="1177773" cy="174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tx1"/>
              </a:solidFill>
            </a:rPr>
            <a:t>Duration</a:t>
          </a:r>
          <a:endParaRPr lang="en-IN" sz="1400" b="1">
            <a:solidFill>
              <a:schemeClr val="tx1"/>
            </a:solidFill>
          </a:endParaRPr>
        </a:p>
      </xdr:txBody>
    </xdr:sp>
    <xdr:clientData/>
  </xdr:twoCellAnchor>
  <xdr:twoCellAnchor>
    <xdr:from>
      <xdr:col>0</xdr:col>
      <xdr:colOff>436590</xdr:colOff>
      <xdr:row>19</xdr:row>
      <xdr:rowOff>117916</xdr:rowOff>
    </xdr:from>
    <xdr:to>
      <xdr:col>2</xdr:col>
      <xdr:colOff>154880</xdr:colOff>
      <xdr:row>20</xdr:row>
      <xdr:rowOff>124163</xdr:rowOff>
    </xdr:to>
    <xdr:sp macro="" textlink="Sheet3!C12">
      <xdr:nvSpPr>
        <xdr:cNvPr id="27" name="TextBox 26">
          <a:extLst>
            <a:ext uri="{FF2B5EF4-FFF2-40B4-BE49-F238E27FC236}">
              <a16:creationId xmlns:a16="http://schemas.microsoft.com/office/drawing/2014/main" id="{2005E854-D120-42F5-B6E8-8D923C16CE3F}"/>
            </a:ext>
          </a:extLst>
        </xdr:cNvPr>
        <xdr:cNvSpPr txBox="1"/>
      </xdr:nvSpPr>
      <xdr:spPr>
        <a:xfrm>
          <a:off x="436590" y="3618092"/>
          <a:ext cx="940839" cy="190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CEFE01-A6E2-4EA0-BFE0-3F53EA9C3972}" type="TxLink">
            <a:rPr lang="en-US" sz="1100" b="1" i="1" u="none" strike="noStrike">
              <a:solidFill>
                <a:srgbClr val="000000"/>
              </a:solidFill>
              <a:latin typeface="Calibri"/>
              <a:ea typeface="Calibri"/>
              <a:cs typeface="Calibri"/>
            </a:rPr>
            <a:pPr algn="ctr"/>
            <a:t>18,209</a:t>
          </a:fld>
          <a:endParaRPr lang="en-IN" sz="1100" b="1" i="1" u="none"/>
        </a:p>
      </xdr:txBody>
    </xdr:sp>
    <xdr:clientData/>
  </xdr:twoCellAnchor>
  <xdr:twoCellAnchor>
    <xdr:from>
      <xdr:col>0</xdr:col>
      <xdr:colOff>267731</xdr:colOff>
      <xdr:row>22</xdr:row>
      <xdr:rowOff>176055</xdr:rowOff>
    </xdr:from>
    <xdr:to>
      <xdr:col>2</xdr:col>
      <xdr:colOff>359171</xdr:colOff>
      <xdr:row>27</xdr:row>
      <xdr:rowOff>176055</xdr:rowOff>
    </xdr:to>
    <xdr:sp macro="" textlink="Sheet3!D4">
      <xdr:nvSpPr>
        <xdr:cNvPr id="28" name="Rectangle 27">
          <a:extLst>
            <a:ext uri="{FF2B5EF4-FFF2-40B4-BE49-F238E27FC236}">
              <a16:creationId xmlns:a16="http://schemas.microsoft.com/office/drawing/2014/main" id="{7DE66BF2-60B2-413B-9399-26192AACBE6A}"/>
            </a:ext>
          </a:extLst>
        </xdr:cNvPr>
        <xdr:cNvSpPr/>
      </xdr:nvSpPr>
      <xdr:spPr>
        <a:xfrm>
          <a:off x="267731" y="4277885"/>
          <a:ext cx="1307397" cy="932234"/>
        </a:xfrm>
        <a:prstGeom prst="rect">
          <a:avLst/>
        </a:prstGeom>
        <a:effectLst>
          <a:outerShdw blurRad="190500" dist="889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0C192D-5A13-4AC7-8253-D54AFBE86B17}" type="TxLink">
            <a:rPr lang="en-US" sz="2800" b="1" i="0" u="none" strike="noStrike">
              <a:solidFill>
                <a:srgbClr val="000000"/>
              </a:solidFill>
              <a:latin typeface="Calibri"/>
              <a:ea typeface="Calibri"/>
              <a:cs typeface="Calibri"/>
            </a:rPr>
            <a:pPr algn="ctr"/>
            <a:t>3.9</a:t>
          </a:fld>
          <a:endParaRPr lang="en-IN" sz="6000" b="1"/>
        </a:p>
      </xdr:txBody>
    </xdr:sp>
    <xdr:clientData/>
  </xdr:twoCellAnchor>
  <xdr:twoCellAnchor>
    <xdr:from>
      <xdr:col>0</xdr:col>
      <xdr:colOff>523543</xdr:colOff>
      <xdr:row>23</xdr:row>
      <xdr:rowOff>64366</xdr:rowOff>
    </xdr:from>
    <xdr:to>
      <xdr:col>2</xdr:col>
      <xdr:colOff>477823</xdr:colOff>
      <xdr:row>24</xdr:row>
      <xdr:rowOff>56745</xdr:rowOff>
    </xdr:to>
    <xdr:sp macro="" textlink="">
      <xdr:nvSpPr>
        <xdr:cNvPr id="29" name="TextBox 28">
          <a:extLst>
            <a:ext uri="{FF2B5EF4-FFF2-40B4-BE49-F238E27FC236}">
              <a16:creationId xmlns:a16="http://schemas.microsoft.com/office/drawing/2014/main" id="{3265C967-59C5-44CB-ACC8-CC48EC0419EA}"/>
            </a:ext>
          </a:extLst>
        </xdr:cNvPr>
        <xdr:cNvSpPr txBox="1"/>
      </xdr:nvSpPr>
      <xdr:spPr>
        <a:xfrm>
          <a:off x="523543" y="4215261"/>
          <a:ext cx="1177491" cy="172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tx1"/>
              </a:solidFill>
            </a:rPr>
            <a:t>Avg.</a:t>
          </a:r>
          <a:r>
            <a:rPr lang="en-IN" sz="1500" b="1" baseline="0">
              <a:solidFill>
                <a:schemeClr val="tx1"/>
              </a:solidFill>
            </a:rPr>
            <a:t> Rating</a:t>
          </a:r>
          <a:endParaRPr lang="en-IN" sz="1500" b="1">
            <a:solidFill>
              <a:schemeClr val="tx1"/>
            </a:solidFill>
          </a:endParaRPr>
        </a:p>
      </xdr:txBody>
    </xdr:sp>
    <xdr:clientData/>
  </xdr:twoCellAnchor>
  <xdr:twoCellAnchor>
    <xdr:from>
      <xdr:col>0</xdr:col>
      <xdr:colOff>429374</xdr:colOff>
      <xdr:row>26</xdr:row>
      <xdr:rowOff>119119</xdr:rowOff>
    </xdr:from>
    <xdr:to>
      <xdr:col>2</xdr:col>
      <xdr:colOff>152865</xdr:colOff>
      <xdr:row>27</xdr:row>
      <xdr:rowOff>125365</xdr:rowOff>
    </xdr:to>
    <xdr:sp macro="" textlink="Sheet3!D12">
      <xdr:nvSpPr>
        <xdr:cNvPr id="31" name="TextBox 30">
          <a:extLst>
            <a:ext uri="{FF2B5EF4-FFF2-40B4-BE49-F238E27FC236}">
              <a16:creationId xmlns:a16="http://schemas.microsoft.com/office/drawing/2014/main" id="{8D969954-44D3-4D10-9C18-E82AFC89FDBA}"/>
            </a:ext>
          </a:extLst>
        </xdr:cNvPr>
        <xdr:cNvSpPr txBox="1"/>
      </xdr:nvSpPr>
      <xdr:spPr>
        <a:xfrm>
          <a:off x="429374" y="5004270"/>
          <a:ext cx="934340" cy="194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F59BB3-7E85-4AAC-9654-FF14DA8D5651}" type="TxLink">
            <a:rPr lang="en-US" sz="1100" b="1" i="1" u="none" strike="noStrike">
              <a:solidFill>
                <a:srgbClr val="000000"/>
              </a:solidFill>
              <a:latin typeface="Calibri"/>
              <a:ea typeface="Calibri"/>
              <a:cs typeface="Calibri"/>
            </a:rPr>
            <a:pPr algn="ctr"/>
            <a:t>3.9</a:t>
          </a:fld>
          <a:endParaRPr lang="en-IN" sz="1100" b="1" i="1" u="none"/>
        </a:p>
      </xdr:txBody>
    </xdr:sp>
    <xdr:clientData/>
  </xdr:twoCellAnchor>
  <xdr:twoCellAnchor>
    <xdr:from>
      <xdr:col>0</xdr:col>
      <xdr:colOff>267265</xdr:colOff>
      <xdr:row>30</xdr:row>
      <xdr:rowOff>4725</xdr:rowOff>
    </xdr:from>
    <xdr:to>
      <xdr:col>2</xdr:col>
      <xdr:colOff>358706</xdr:colOff>
      <xdr:row>35</xdr:row>
      <xdr:rowOff>4725</xdr:rowOff>
    </xdr:to>
    <xdr:sp macro="" textlink="Sheet3!E4">
      <xdr:nvSpPr>
        <xdr:cNvPr id="32" name="Rectangle 31">
          <a:extLst>
            <a:ext uri="{FF2B5EF4-FFF2-40B4-BE49-F238E27FC236}">
              <a16:creationId xmlns:a16="http://schemas.microsoft.com/office/drawing/2014/main" id="{69A1C238-2BF9-4898-97B0-8121723FD985}"/>
            </a:ext>
          </a:extLst>
        </xdr:cNvPr>
        <xdr:cNvSpPr/>
      </xdr:nvSpPr>
      <xdr:spPr>
        <a:xfrm>
          <a:off x="267265" y="5440945"/>
          <a:ext cx="1308782" cy="906036"/>
        </a:xfrm>
        <a:prstGeom prst="rect">
          <a:avLst/>
        </a:prstGeom>
        <a:effectLst>
          <a:outerShdw blurRad="190500" dist="889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ADAD609-4E6A-4D8A-BCC3-E0C9F45F8DDF}" type="TxLink">
            <a:rPr lang="en-US" sz="2800" b="1" i="0" u="none" strike="noStrike">
              <a:solidFill>
                <a:srgbClr val="000000"/>
              </a:solidFill>
              <a:latin typeface="Calibri"/>
              <a:ea typeface="Calibri"/>
              <a:cs typeface="Calibri"/>
            </a:rPr>
            <a:pPr algn="ctr"/>
            <a:t>307</a:t>
          </a:fld>
          <a:endParaRPr lang="en-IN" sz="6000" b="1"/>
        </a:p>
      </xdr:txBody>
    </xdr:sp>
    <xdr:clientData/>
  </xdr:twoCellAnchor>
  <xdr:twoCellAnchor>
    <xdr:from>
      <xdr:col>0</xdr:col>
      <xdr:colOff>285332</xdr:colOff>
      <xdr:row>30</xdr:row>
      <xdr:rowOff>37195</xdr:rowOff>
    </xdr:from>
    <xdr:to>
      <xdr:col>2</xdr:col>
      <xdr:colOff>559241</xdr:colOff>
      <xdr:row>31</xdr:row>
      <xdr:rowOff>42705</xdr:rowOff>
    </xdr:to>
    <xdr:sp macro="" textlink="">
      <xdr:nvSpPr>
        <xdr:cNvPr id="33" name="TextBox 32">
          <a:extLst>
            <a:ext uri="{FF2B5EF4-FFF2-40B4-BE49-F238E27FC236}">
              <a16:creationId xmlns:a16="http://schemas.microsoft.com/office/drawing/2014/main" id="{588EEE22-F808-49F3-A75D-A02D5E74B40C}"/>
            </a:ext>
          </a:extLst>
        </xdr:cNvPr>
        <xdr:cNvSpPr txBox="1"/>
      </xdr:nvSpPr>
      <xdr:spPr>
        <a:xfrm>
          <a:off x="285332" y="5473415"/>
          <a:ext cx="1491250" cy="186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solidFill>
            </a:rPr>
            <a:t>Happy</a:t>
          </a:r>
          <a:r>
            <a:rPr lang="en-IN" sz="1500" b="1">
              <a:solidFill>
                <a:schemeClr val="tx1"/>
              </a:solidFill>
            </a:rPr>
            <a:t> Callers</a:t>
          </a:r>
        </a:p>
      </xdr:txBody>
    </xdr:sp>
    <xdr:clientData/>
  </xdr:twoCellAnchor>
  <xdr:twoCellAnchor>
    <xdr:from>
      <xdr:col>0</xdr:col>
      <xdr:colOff>428908</xdr:colOff>
      <xdr:row>33</xdr:row>
      <xdr:rowOff>135875</xdr:rowOff>
    </xdr:from>
    <xdr:to>
      <xdr:col>2</xdr:col>
      <xdr:colOff>152924</xdr:colOff>
      <xdr:row>34</xdr:row>
      <xdr:rowOff>142121</xdr:rowOff>
    </xdr:to>
    <xdr:sp macro="" textlink="Sheet3!E12">
      <xdr:nvSpPr>
        <xdr:cNvPr id="35" name="TextBox 34">
          <a:extLst>
            <a:ext uri="{FF2B5EF4-FFF2-40B4-BE49-F238E27FC236}">
              <a16:creationId xmlns:a16="http://schemas.microsoft.com/office/drawing/2014/main" id="{A3BDB569-3BCB-4AB8-B77E-C680AB170961}"/>
            </a:ext>
          </a:extLst>
        </xdr:cNvPr>
        <xdr:cNvSpPr txBox="1"/>
      </xdr:nvSpPr>
      <xdr:spPr>
        <a:xfrm>
          <a:off x="428908" y="6052581"/>
          <a:ext cx="934251" cy="185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14D1CD-B410-4DBA-9F0F-D7959698B237}" type="TxLink">
            <a:rPr lang="en-US" sz="1100" b="1" i="1" u="none" strike="noStrike">
              <a:solidFill>
                <a:srgbClr val="000000"/>
              </a:solidFill>
              <a:latin typeface="Calibri"/>
              <a:ea typeface="Calibri"/>
              <a:cs typeface="Calibri"/>
            </a:rPr>
            <a:pPr algn="ctr"/>
            <a:t>51</a:t>
          </a:fld>
          <a:endParaRPr lang="en-IN" sz="1100" b="1" i="1" u="none"/>
        </a:p>
      </xdr:txBody>
    </xdr:sp>
    <xdr:clientData/>
  </xdr:twoCellAnchor>
  <xdr:twoCellAnchor editAs="oneCell">
    <xdr:from>
      <xdr:col>0</xdr:col>
      <xdr:colOff>335426</xdr:colOff>
      <xdr:row>9</xdr:row>
      <xdr:rowOff>24581</xdr:rowOff>
    </xdr:from>
    <xdr:to>
      <xdr:col>1</xdr:col>
      <xdr:colOff>27616</xdr:colOff>
      <xdr:row>10</xdr:row>
      <xdr:rowOff>122903</xdr:rowOff>
    </xdr:to>
    <xdr:pic>
      <xdr:nvPicPr>
        <xdr:cNvPr id="40" name="Graphic 39" descr="Shopping cart with solid fill">
          <a:extLst>
            <a:ext uri="{FF2B5EF4-FFF2-40B4-BE49-F238E27FC236}">
              <a16:creationId xmlns:a16="http://schemas.microsoft.com/office/drawing/2014/main" id="{F9211C20-C2B5-4309-B8C9-2A340F7A3D7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35426" y="1683775"/>
          <a:ext cx="300561" cy="282676"/>
        </a:xfrm>
        <a:prstGeom prst="rect">
          <a:avLst/>
        </a:prstGeom>
      </xdr:spPr>
    </xdr:pic>
    <xdr:clientData/>
  </xdr:twoCellAnchor>
  <xdr:twoCellAnchor editAs="oneCell">
    <xdr:from>
      <xdr:col>0</xdr:col>
      <xdr:colOff>269623</xdr:colOff>
      <xdr:row>30</xdr:row>
      <xdr:rowOff>27877</xdr:rowOff>
    </xdr:from>
    <xdr:to>
      <xdr:col>0</xdr:col>
      <xdr:colOff>522664</xdr:colOff>
      <xdr:row>31</xdr:row>
      <xdr:rowOff>78989</xdr:rowOff>
    </xdr:to>
    <xdr:pic>
      <xdr:nvPicPr>
        <xdr:cNvPr id="42" name="Graphic 41" descr="Star-struck face outline with solid fill">
          <a:extLst>
            <a:ext uri="{FF2B5EF4-FFF2-40B4-BE49-F238E27FC236}">
              <a16:creationId xmlns:a16="http://schemas.microsoft.com/office/drawing/2014/main" id="{A05CC80E-8D37-439C-80BD-3704DF83AC4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69623" y="5464097"/>
          <a:ext cx="253041" cy="232318"/>
        </a:xfrm>
        <a:prstGeom prst="rect">
          <a:avLst/>
        </a:prstGeom>
      </xdr:spPr>
    </xdr:pic>
    <xdr:clientData/>
  </xdr:twoCellAnchor>
  <xdr:twoCellAnchor editAs="oneCell">
    <xdr:from>
      <xdr:col>0</xdr:col>
      <xdr:colOff>316090</xdr:colOff>
      <xdr:row>16</xdr:row>
      <xdr:rowOff>10168</xdr:rowOff>
    </xdr:from>
    <xdr:to>
      <xdr:col>1</xdr:col>
      <xdr:colOff>3824</xdr:colOff>
      <xdr:row>17</xdr:row>
      <xdr:rowOff>118057</xdr:rowOff>
    </xdr:to>
    <xdr:pic>
      <xdr:nvPicPr>
        <xdr:cNvPr id="43" name="Graphic 42" descr="Hourglass Finished with solid fill">
          <a:extLst>
            <a:ext uri="{FF2B5EF4-FFF2-40B4-BE49-F238E27FC236}">
              <a16:creationId xmlns:a16="http://schemas.microsoft.com/office/drawing/2014/main" id="{F876ED65-954E-442F-B29E-F69394D94A3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16090" y="2929379"/>
          <a:ext cx="293662" cy="290339"/>
        </a:xfrm>
        <a:prstGeom prst="rect">
          <a:avLst/>
        </a:prstGeom>
      </xdr:spPr>
    </xdr:pic>
    <xdr:clientData/>
  </xdr:twoCellAnchor>
  <xdr:twoCellAnchor editAs="oneCell">
    <xdr:from>
      <xdr:col>0</xdr:col>
      <xdr:colOff>275306</xdr:colOff>
      <xdr:row>22</xdr:row>
      <xdr:rowOff>149439</xdr:rowOff>
    </xdr:from>
    <xdr:to>
      <xdr:col>1</xdr:col>
      <xdr:colOff>34012</xdr:colOff>
      <xdr:row>24</xdr:row>
      <xdr:rowOff>140369</xdr:rowOff>
    </xdr:to>
    <xdr:pic>
      <xdr:nvPicPr>
        <xdr:cNvPr id="44" name="Graphic 43" descr="Rating Star with solid fill">
          <a:extLst>
            <a:ext uri="{FF2B5EF4-FFF2-40B4-BE49-F238E27FC236}">
              <a16:creationId xmlns:a16="http://schemas.microsoft.com/office/drawing/2014/main" id="{A07BF9F1-7D44-417C-BBE9-C520F730190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275306" y="4119860"/>
          <a:ext cx="370311" cy="351876"/>
        </a:xfrm>
        <a:prstGeom prst="rect">
          <a:avLst/>
        </a:prstGeom>
      </xdr:spPr>
    </xdr:pic>
    <xdr:clientData/>
  </xdr:twoCellAnchor>
  <xdr:twoCellAnchor>
    <xdr:from>
      <xdr:col>3</xdr:col>
      <xdr:colOff>145607</xdr:colOff>
      <xdr:row>2</xdr:row>
      <xdr:rowOff>0</xdr:rowOff>
    </xdr:from>
    <xdr:to>
      <xdr:col>10</xdr:col>
      <xdr:colOff>78828</xdr:colOff>
      <xdr:row>15</xdr:row>
      <xdr:rowOff>26276</xdr:rowOff>
    </xdr:to>
    <xdr:graphicFrame macro="">
      <xdr:nvGraphicFramePr>
        <xdr:cNvPr id="46" name="Chart 45">
          <a:extLst>
            <a:ext uri="{FF2B5EF4-FFF2-40B4-BE49-F238E27FC236}">
              <a16:creationId xmlns:a16="http://schemas.microsoft.com/office/drawing/2014/main" id="{3A627BA1-470E-442B-A11F-570D6CA30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136769</xdr:colOff>
      <xdr:row>15</xdr:row>
      <xdr:rowOff>147484</xdr:rowOff>
    </xdr:from>
    <xdr:to>
      <xdr:col>11</xdr:col>
      <xdr:colOff>99393</xdr:colOff>
      <xdr:row>34</xdr:row>
      <xdr:rowOff>159774</xdr:rowOff>
    </xdr:to>
    <xdr:sp macro="" textlink="">
      <xdr:nvSpPr>
        <xdr:cNvPr id="8" name="Rectangle 7">
          <a:extLst>
            <a:ext uri="{FF2B5EF4-FFF2-40B4-BE49-F238E27FC236}">
              <a16:creationId xmlns:a16="http://schemas.microsoft.com/office/drawing/2014/main" id="{9A052AE3-AB05-8093-2563-9C29D3DC547A}"/>
            </a:ext>
          </a:extLst>
        </xdr:cNvPr>
        <xdr:cNvSpPr/>
      </xdr:nvSpPr>
      <xdr:spPr>
        <a:xfrm>
          <a:off x="1953846" y="3048946"/>
          <a:ext cx="4808162" cy="3538982"/>
        </a:xfrm>
        <a:prstGeom prst="rect">
          <a:avLst/>
        </a:prstGeom>
        <a:solidFill>
          <a:schemeClr val="bg1"/>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accent1"/>
              </a:solidFill>
            </a:ln>
            <a:solidFill>
              <a:schemeClr val="bg1"/>
            </a:solidFill>
          </a:endParaRPr>
        </a:p>
      </xdr:txBody>
    </xdr:sp>
    <xdr:clientData/>
  </xdr:twoCellAnchor>
  <xdr:twoCellAnchor>
    <xdr:from>
      <xdr:col>3</xdr:col>
      <xdr:colOff>150396</xdr:colOff>
      <xdr:row>15</xdr:row>
      <xdr:rowOff>157511</xdr:rowOff>
    </xdr:from>
    <xdr:to>
      <xdr:col>8</xdr:col>
      <xdr:colOff>320262</xdr:colOff>
      <xdr:row>34</xdr:row>
      <xdr:rowOff>147484</xdr:rowOff>
    </xdr:to>
    <xdr:graphicFrame macro="">
      <xdr:nvGraphicFramePr>
        <xdr:cNvPr id="6" name="Chart 5">
          <a:extLst>
            <a:ext uri="{FF2B5EF4-FFF2-40B4-BE49-F238E27FC236}">
              <a16:creationId xmlns:a16="http://schemas.microsoft.com/office/drawing/2014/main" id="{DF3FCFD0-CE0D-4741-A404-1510397CB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309218</xdr:colOff>
      <xdr:row>15</xdr:row>
      <xdr:rowOff>160422</xdr:rowOff>
    </xdr:from>
    <xdr:to>
      <xdr:col>11</xdr:col>
      <xdr:colOff>88348</xdr:colOff>
      <xdr:row>34</xdr:row>
      <xdr:rowOff>132522</xdr:rowOff>
    </xdr:to>
    <xdr:graphicFrame macro="">
      <xdr:nvGraphicFramePr>
        <xdr:cNvPr id="7" name="Chart 6">
          <a:extLst>
            <a:ext uri="{FF2B5EF4-FFF2-40B4-BE49-F238E27FC236}">
              <a16:creationId xmlns:a16="http://schemas.microsoft.com/office/drawing/2014/main" id="{9E53FD51-018D-42C9-846C-23CE2C606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518161</xdr:colOff>
      <xdr:row>2</xdr:row>
      <xdr:rowOff>1</xdr:rowOff>
    </xdr:from>
    <xdr:to>
      <xdr:col>18</xdr:col>
      <xdr:colOff>48638</xdr:colOff>
      <xdr:row>15</xdr:row>
      <xdr:rowOff>0</xdr:rowOff>
    </xdr:to>
    <xdr:graphicFrame macro="">
      <xdr:nvGraphicFramePr>
        <xdr:cNvPr id="10" name="Chart 9">
          <a:extLst>
            <a:ext uri="{FF2B5EF4-FFF2-40B4-BE49-F238E27FC236}">
              <a16:creationId xmlns:a16="http://schemas.microsoft.com/office/drawing/2014/main" id="{E6CAF0AA-8F4D-41C2-8C85-3E2D8CC46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129702</xdr:colOff>
      <xdr:row>2</xdr:row>
      <xdr:rowOff>0</xdr:rowOff>
    </xdr:from>
    <xdr:to>
      <xdr:col>21</xdr:col>
      <xdr:colOff>15241</xdr:colOff>
      <xdr:row>15</xdr:row>
      <xdr:rowOff>11633</xdr:rowOff>
    </xdr:to>
    <xdr:graphicFrame macro="">
      <xdr:nvGraphicFramePr>
        <xdr:cNvPr id="11" name="Chart 10">
          <a:extLst>
            <a:ext uri="{FF2B5EF4-FFF2-40B4-BE49-F238E27FC236}">
              <a16:creationId xmlns:a16="http://schemas.microsoft.com/office/drawing/2014/main" id="{668C12BE-1373-4EA4-998F-202C037BA0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285751</xdr:colOff>
      <xdr:row>30</xdr:row>
      <xdr:rowOff>122350</xdr:rowOff>
    </xdr:from>
    <xdr:to>
      <xdr:col>17</xdr:col>
      <xdr:colOff>1188147</xdr:colOff>
      <xdr:row>45</xdr:row>
      <xdr:rowOff>135438</xdr:rowOff>
    </xdr:to>
    <xdr:graphicFrame macro="">
      <xdr:nvGraphicFramePr>
        <xdr:cNvPr id="2" name="Chart 1">
          <a:extLst>
            <a:ext uri="{FF2B5EF4-FFF2-40B4-BE49-F238E27FC236}">
              <a16:creationId xmlns:a16="http://schemas.microsoft.com/office/drawing/2014/main" id="{094CC8E5-72D9-4328-B010-9815A7E81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1502615</xdr:colOff>
      <xdr:row>17</xdr:row>
      <xdr:rowOff>10584</xdr:rowOff>
    </xdr:from>
    <xdr:to>
      <xdr:col>20</xdr:col>
      <xdr:colOff>579538</xdr:colOff>
      <xdr:row>32</xdr:row>
      <xdr:rowOff>45941</xdr:rowOff>
    </xdr:to>
    <xdr:graphicFrame macro="">
      <xdr:nvGraphicFramePr>
        <xdr:cNvPr id="3" name="Chart 2">
          <a:extLst>
            <a:ext uri="{FF2B5EF4-FFF2-40B4-BE49-F238E27FC236}">
              <a16:creationId xmlns:a16="http://schemas.microsoft.com/office/drawing/2014/main" id="{1D182047-B206-4F89-9D97-21307A39A6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nshu" refreshedDate="46174.989045138886" backgroundQuery="1" createdVersion="8" refreshedVersion="8" minRefreshableVersion="3" recordCount="0" supportSubquery="1" supportAdvancedDrill="1" xr:uid="{5CD511E7-5F53-4526-82FC-F235F621E960}">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ount of Call number]" caption="Count of Call number" numFmtId="0" hierarchy="26"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nshu" refreshedDate="46173.736420486108" backgroundQuery="1" createdVersion="8" refreshedVersion="8" minRefreshableVersion="3" recordCount="0" supportSubquery="1" supportAdvancedDrill="1" xr:uid="{FF86F689-B9BA-49AE-95B5-10FC0FD02461}">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Sum of Purchase Amount]" caption="Sum of Purchase Amount" numFmtId="0" hierarchy="25"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nshu" refreshedDate="46173.708508101852" backgroundQuery="1" createdVersion="8" refreshedVersion="8" minRefreshableVersion="3" recordCount="0" supportSubquery="1" supportAdvancedDrill="1" xr:uid="{A319FF25-4D87-4E5F-9FB5-68C4AD959061}">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nshu" refreshedDate="46175.01537523148" backgroundQuery="1" createdVersion="8" refreshedVersion="8" minRefreshableVersion="3" recordCount="0" supportSubquery="1" supportAdvancedDrill="1" xr:uid="{8781BC2D-E23F-4B96-9B12-9C79772F4EF1}">
  <cacheSource type="external" connectionId="1"/>
  <cacheFields count="4">
    <cacheField name="[calls].[Representative].[Representative]" caption="Representative" numFmtId="0" hierarchy="3" level="1">
      <sharedItems count="5">
        <s v="R01"/>
        <s v="R02"/>
        <s v="R03"/>
        <s v="R04"/>
        <s v="R05"/>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ustomers].[City].[City]" caption="City" numFmtId="0" hierarchy="15" level="1">
      <sharedItems count="3">
        <s v="Cincinnati"/>
        <s v="Cleveland"/>
        <s v="Columbus"/>
      </sharedItems>
    </cacheField>
    <cacheField name="[Measures].[Sum of Purchase Amount]" caption="Sum of Purchase Amount" numFmtId="0" hierarchy="25"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oneField="1" hidden="1">
      <fieldsUsage count="1">
        <fieldUsage x="3"/>
      </fieldsUsage>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nshu" refreshedDate="46175.045297453704" backgroundQuery="1" createdVersion="8" refreshedVersion="8" minRefreshableVersion="3" recordCount="0" supportSubquery="1" supportAdvancedDrill="1" xr:uid="{033B557A-9AAD-4F23-9BF5-DFF428DE849D}">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nshu" refreshedDate="46175.045297800927" backgroundQuery="1" createdVersion="8" refreshedVersion="8" minRefreshableVersion="3" recordCount="0" supportSubquery="1" supportAdvancedDrill="1" xr:uid="{AE9E9E38-7271-45A4-A0F0-045017C338B5}">
  <cacheSource type="external" connectionId="1"/>
  <cacheFields count="4">
    <cacheField name="[calls].[Representative].[Representative]" caption="Representative" numFmtId="0" hierarchy="3" level="1">
      <sharedItems containsSemiMixedTypes="0" containsNonDate="0" containsString="0"/>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8" level="32767">
      <extLst>
        <ext xmlns:x14="http://schemas.microsoft.com/office/spreadsheetml/2009/9/main" uri="{63CAB8AC-B538-458d-9737-405883B0398D}">
          <x14:cacheField ignore="1"/>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nshu" refreshedDate="46175.04529814815" backgroundQuery="1" createdVersion="8" refreshedVersion="8" minRefreshableVersion="3" recordCount="0" supportSubquery="1" supportAdvancedDrill="1" xr:uid="{05E87531-C0BF-4179-BF04-05013F3BC42E}">
  <cacheSource type="external" connectionId="1"/>
  <cacheFields count="3">
    <cacheField name="[Measures].[Call Count]" caption="Call Count" numFmtId="0" hierarchy="17" level="32767"/>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nshu" refreshedDate="46175.045298611112" backgroundQuery="1" createdVersion="8" refreshedVersion="8" minRefreshableVersion="3" recordCount="0" supportSubquery="1" supportAdvancedDrill="1" xr:uid="{2BECD28F-9B16-43E2-92DD-B19DE88D1315}">
  <cacheSource type="external" connectionId="1"/>
  <cacheFields count="1">
    <cacheField name="[calls].[Representative].[Representative]" caption="Representative" numFmtId="0" hierarchy="3" level="1">
      <sharedItems count="1">
        <s v="R05"/>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nshu" refreshedDate="46175.045298958335" backgroundQuery="1" createdVersion="8" refreshedVersion="8" minRefreshableVersion="3" recordCount="0" supportSubquery="1" supportAdvancedDrill="1" xr:uid="{97F65D94-2BA5-488F-8D2A-F05C90924A39}">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nshu" refreshedDate="46173.708505208335" backgroundQuery="1" createdVersion="3" refreshedVersion="8" minRefreshableVersion="3" recordCount="0" supportSubquery="1" supportAdvancedDrill="1" xr:uid="{72C18169-998F-4C1E-8C3C-AAB9F3A9405D}">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6074747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5F3B1E-EBD4-4045-B0E1-974D622DBFB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50:E55"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name="Count of Call number" fld="2" subtotal="count" baseField="0" baseItem="0"/>
  </dataFields>
  <chartFormats count="2">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A6681D-C371-4A6B-8761-6BF7BD09BDDB}" name="rep pivot"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1:E1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9"/>
    <dataField fld="2" subtotal="count" baseField="0" baseItem="0"/>
    <dataField fld="3" subtotal="count" baseField="0" baseItem="0"/>
    <dataField fld="4" subtotal="count" baseField="0" baseItem="0"/>
  </dataFields>
  <formats count="1">
    <format dxfId="1">
      <pivotArea outline="0" collapsedLevelsAreSubtotals="1" fieldPosition="0">
        <references count="1">
          <reference field="4294967294" count="1" selected="0">
            <x v="1"/>
          </reference>
        </references>
      </pivotArea>
    </format>
  </format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FFB522-F2A6-4A2E-A94D-3327E7EF9F37}" name="Summary 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8"/>
    <dataField fld="2" subtotal="count" baseField="0" baseItem="0"/>
    <dataField fld="3" subtotal="count" baseField="0" baseItem="0"/>
    <dataField fld="4" subtotal="count" baseField="0" baseItem="0"/>
  </dataFields>
  <formats count="1">
    <format dxfId="2">
      <pivotArea outline="0" collapsedLevelsAreSubtotals="1" fieldPosition="0">
        <references count="1">
          <reference field="4294967294" count="1" selected="0">
            <x v="1"/>
          </reference>
        </references>
      </pivotArea>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3F8C0C-19E9-45BE-8752-8ACBD1C29FA6}" name="selected rep pivot" cacheId="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K33:K34"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3">
      <pivotArea dataOnly="0" fieldPosition="0">
        <references count="1">
          <reference field="0" count="0"/>
        </references>
      </pivotArea>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6F986C-6470-4396-A5CB-B2848EB64B3E}"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8:K24"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name="Total Purchase Amount" fld="2" baseField="0" baseItem="0" numFmtId="166"/>
  </dataFields>
  <formats count="1">
    <format dxfId="4">
      <pivotArea outline="0" collapsedLevelsAreSubtotals="1" fieldPosition="0">
        <references count="1">
          <reference field="4294967294" count="1" selected="0">
            <x v="1"/>
          </reference>
        </references>
      </pivotArea>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urchase Amount"/>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417894-3F07-47AC-926B-5EA28F71413B}" name="weekday trend" cacheId="6" applyNumberFormats="0" applyBorderFormats="0" applyFontFormats="0" applyPatternFormats="0" applyAlignmentFormats="0" applyWidthHeightFormats="1" dataCaption="Values" updatedVersion="8" minRefreshableVersion="3" useAutoFormatting="1" subtotalHiddenItems="1" itemPrintTitles="1" createdVersion="8" indent="0" showHeaders="0" outline="1" outlineData="1" multipleFieldFilters="0" chartFormat="35">
  <location ref="G32:H40" firstHeaderRow="1" firstDataRow="1" firstDataCol="1"/>
  <pivotFields count="3">
    <pivotField dataField="1" subtotalTop="0" showAll="0" defaultSubtotal="0"/>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fld="0" subtotal="count" baseField="0" baseItem="0"/>
  </dataFields>
  <chartFormats count="1">
    <chartFormat chart="3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4D6342-6876-4B95-9CFB-D4C31B558BF8}" name="rep amounts"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P55:V74"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defaultAttributeDrillState="1">
      <items count="3">
        <item x="0"/>
        <item x="1"/>
        <item x="2"/>
      </items>
    </pivotField>
    <pivotField dataField="1" subtotalTop="0" showAll="0" defaultSubtotal="0"/>
  </pivotFields>
  <rowFields count="2">
    <field x="2"/>
    <field x="1"/>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name="Sum of Purchase Amount" fld="3" baseField="0" baseItem="0"/>
  </dataFields>
  <formats count="12">
    <format dxfId="16">
      <pivotArea collapsedLevelsAreSubtotals="1" fieldPosition="0">
        <references count="3">
          <reference field="0" count="0" selected="0"/>
          <reference field="1" count="4">
            <x v="0"/>
            <x v="1"/>
            <x v="2"/>
            <x v="3"/>
          </reference>
          <reference field="2" count="1" selected="0">
            <x v="0"/>
          </reference>
        </references>
      </pivotArea>
    </format>
    <format dxfId="15">
      <pivotArea collapsedLevelsAreSubtotals="1" fieldPosition="0">
        <references count="2">
          <reference field="0" count="0" selected="0"/>
          <reference field="2" count="1">
            <x v="1"/>
          </reference>
        </references>
      </pivotArea>
    </format>
    <format dxfId="14">
      <pivotArea collapsedLevelsAreSubtotals="1" fieldPosition="0">
        <references count="3">
          <reference field="0" count="0" selected="0"/>
          <reference field="1" count="6">
            <x v="4"/>
            <x v="5"/>
            <x v="6"/>
            <x v="7"/>
            <x v="8"/>
            <x v="9"/>
          </reference>
          <reference field="2" count="1" selected="0">
            <x v="1"/>
          </reference>
        </references>
      </pivotArea>
    </format>
    <format dxfId="13">
      <pivotArea collapsedLevelsAreSubtotals="1" fieldPosition="0">
        <references count="2">
          <reference field="0" count="0" selected="0"/>
          <reference field="2" count="1">
            <x v="2"/>
          </reference>
        </references>
      </pivotArea>
    </format>
    <format dxfId="12">
      <pivotArea collapsedLevelsAreSubtotals="1" fieldPosition="0">
        <references count="3">
          <reference field="0" count="0" selected="0"/>
          <reference field="1" count="5">
            <x v="10"/>
            <x v="11"/>
            <x v="12"/>
            <x v="13"/>
            <x v="14"/>
          </reference>
          <reference field="2" count="1" selected="0">
            <x v="2"/>
          </reference>
        </references>
      </pivotArea>
    </format>
    <format dxfId="11">
      <pivotArea field="0" grandRow="1" outline="0" collapsedLevelsAreSubtotals="1" axis="axisCol" fieldPosition="0">
        <references count="1">
          <reference field="0" count="0" selected="0"/>
        </references>
      </pivotArea>
    </format>
    <format dxfId="10">
      <pivotArea field="2" grandCol="1" collapsedLevelsAreSubtotals="1" axis="axisRow" fieldPosition="0">
        <references count="2">
          <reference field="1" count="4">
            <x v="0"/>
            <x v="1"/>
            <x v="2"/>
            <x v="3"/>
          </reference>
          <reference field="2" count="1" selected="0">
            <x v="0"/>
          </reference>
        </references>
      </pivotArea>
    </format>
    <format dxfId="9">
      <pivotArea field="2" grandCol="1" collapsedLevelsAreSubtotals="1" axis="axisRow" fieldPosition="0">
        <references count="1">
          <reference field="2" count="1">
            <x v="1"/>
          </reference>
        </references>
      </pivotArea>
    </format>
    <format dxfId="8">
      <pivotArea field="2" grandCol="1" collapsedLevelsAreSubtotals="1" axis="axisRow" fieldPosition="0">
        <references count="2">
          <reference field="1" count="6">
            <x v="4"/>
            <x v="5"/>
            <x v="6"/>
            <x v="7"/>
            <x v="8"/>
            <x v="9"/>
          </reference>
          <reference field="2" count="1" selected="0">
            <x v="1"/>
          </reference>
        </references>
      </pivotArea>
    </format>
    <format dxfId="7">
      <pivotArea field="2" grandCol="1" collapsedLevelsAreSubtotals="1" axis="axisRow" fieldPosition="0">
        <references count="1">
          <reference field="2" count="1">
            <x v="2"/>
          </reference>
        </references>
      </pivotArea>
    </format>
    <format dxfId="6">
      <pivotArea field="2" grandCol="1" collapsedLevelsAreSubtotals="1" axis="axisRow" fieldPosition="0">
        <references count="2">
          <reference field="1" count="5">
            <x v="10"/>
            <x v="11"/>
            <x v="12"/>
            <x v="13"/>
            <x v="14"/>
          </reference>
          <reference field="2" count="1" selected="0">
            <x v="2"/>
          </reference>
        </references>
      </pivotArea>
    </format>
    <format dxfId="5">
      <pivotArea grandRow="1" grandCol="1" outline="0" collapsedLevelsAreSubtotals="1" fieldPosition="0"/>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2546C5-A61D-43C7-8097-EB0C68B4DA89}" name="rep satisfaction"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I59:J64"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1">
    <chartFormat chart="15"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DEC567-130B-44BE-B8EE-0DAA01FBF51E}" name="Monthly trend"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25:D38"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3" subtotal="count" baseField="0" baseItem="0">
      <extLst>
        <ext xmlns:x14="http://schemas.microsoft.com/office/spreadsheetml/2009/9/main" uri="{E15A36E0-9728-4e99-A89B-3F7291B0FE68}">
          <x14:dataField sourceField="2" uniqueName="[__Xl2].[Measures].[Call Count]"/>
        </ext>
      </extLst>
    </dataField>
  </dataFields>
  <chartFormats count="2">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9F1F5CAC-3854-4EF1-9702-05F376CF05DB}" sourceName="[calls].[Representative]">
  <pivotTables>
    <pivotTable tabId="7" name="rep pivot"/>
    <pivotTable tabId="7" name="Monthly trend"/>
    <pivotTable tabId="7" name="weekday trend"/>
    <pivotTable tabId="7" name="selected rep pivot"/>
    <pivotTable tabId="7" name="rep satisfaction"/>
  </pivotTables>
  <data>
    <olap pivotCacheId="2060747477">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67B1BDD8-3A46-44AF-A183-D62275C65AE3}" cache="Slicer_Representative" caption="Representative" level="1"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30"/>
    <tableColumn id="5" xr3:uid="{5A35565E-8707-4DED-AD15-A0669D67B382}" name="Date of Call" dataDxfId="29"/>
    <tableColumn id="6" xr3:uid="{F2E4F158-B41F-47BC-8DF8-DFCADFEE4E40}" name="Purchase Amount"/>
    <tableColumn id="7" xr3:uid="{04B291B5-47BD-4F78-8FD8-D1551CCA6BD9}" name="Satisfaction Rating"/>
    <tableColumn id="8" xr3:uid="{6E4123C0-0B17-43B8-A142-A1E540CE974C}" name="FY" dataDxfId="28">
      <calculatedColumnFormula>IF(MONTH(calls[[#This Row],[Date of Call]])&lt;=6, YEAR(calls[[#This Row],[Date of Call]]), YEAR(calls[[#This Row],[Date of Call]])+1)</calculatedColumnFormula>
    </tableColumn>
    <tableColumn id="9" xr3:uid="{199FA271-5E9B-46CE-9BC6-2801F92CD17E}" name="Day of week" dataDxfId="27">
      <calculatedColumnFormula>TEXT(calls[[#This Row],[Date of Call]],"DDDD")</calculatedColumnFormula>
    </tableColumn>
    <tableColumn id="10" xr3:uid="{328CDB09-95B8-4D5E-9ED9-EF0D363735A1}" name="Duration Bucket" dataDxfId="26">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25">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24" headerRowBorderDxfId="23" tableBorderDxfId="22" totalsRowBorderDxfId="21">
  <autoFilter ref="Q3:T18" xr:uid="{27158F51-A707-4171-8A04-81FB0AABCBA5}"/>
  <tableColumns count="4">
    <tableColumn id="1" xr3:uid="{02688061-6A8C-4E23-B7FF-D00CD8B58CAC}" name="Customer ID" dataDxfId="20"/>
    <tableColumn id="2" xr3:uid="{771678B6-DB44-426B-9874-B4E421A440D5}" name="Gedner" dataDxfId="19"/>
    <tableColumn id="3" xr3:uid="{B0D41C62-587E-494D-B49A-603F2C05F8D3}" name="Age" dataDxfId="18"/>
    <tableColumn id="4" xr3:uid="{663F92D6-FE31-4D81-9E01-8D066DDC8A88}" name="City" dataDxfId="1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Custom 1">
      <a:majorFont>
        <a:latin typeface="Cambria"/>
        <a:ea typeface=""/>
        <a:cs typeface=""/>
      </a:majorFont>
      <a:minorFont>
        <a:latin typeface="Calibri"/>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N2" zoomScale="126" zoomScaleNormal="70" workbookViewId="0">
      <selection activeCell="H14" sqref="H14"/>
    </sheetView>
  </sheetViews>
  <sheetFormatPr defaultRowHeight="14.4" x14ac:dyDescent="0.3"/>
  <cols>
    <col min="1" max="1" width="3.5546875" customWidth="1"/>
    <col min="2" max="2" width="14.6640625" customWidth="1"/>
    <col min="3" max="3" width="13" customWidth="1"/>
    <col min="4" max="4" width="16.6640625" customWidth="1"/>
    <col min="5" max="5" width="15.109375" customWidth="1"/>
    <col min="6" max="6" width="16.21875" customWidth="1"/>
    <col min="7" max="7" width="17.33203125" customWidth="1"/>
    <col min="8" max="8" width="18.44140625" customWidth="1"/>
    <col min="9" max="9" width="17.33203125" customWidth="1"/>
    <col min="10" max="12" width="15.5546875" customWidth="1"/>
    <col min="13" max="16" width="7.5546875" customWidth="1"/>
    <col min="17" max="17" width="14.6640625" customWidth="1"/>
    <col min="20" max="20" width="10.6640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16001-2831-4BA0-A10A-4D7CA2E85ED5}">
  <dimension ref="A1:AS86"/>
  <sheetViews>
    <sheetView tabSelected="1" zoomScale="65" zoomScaleNormal="100" workbookViewId="0">
      <selection activeCell="A2" sqref="A2"/>
    </sheetView>
  </sheetViews>
  <sheetFormatPr defaultRowHeight="14.4" x14ac:dyDescent="0.3"/>
  <cols>
    <col min="15" max="15" width="14.109375" customWidth="1"/>
  </cols>
  <sheetData>
    <row r="1" spans="1:45" ht="33" customHeight="1" x14ac:dyDescent="0.7">
      <c r="A1" s="43" t="s">
        <v>1078</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row>
    <row r="2" spans="1:45" x14ac:dyDescent="0.3">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row>
    <row r="3" spans="1:45" x14ac:dyDescent="0.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row>
    <row r="4" spans="1:45" x14ac:dyDescent="0.3">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row>
    <row r="5" spans="1:45"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row>
    <row r="6" spans="1:45" x14ac:dyDescent="0.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row>
    <row r="7" spans="1:45" x14ac:dyDescent="0.3">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row>
    <row r="8" spans="1:45"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row>
    <row r="9" spans="1:45"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row>
    <row r="10" spans="1:45"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row>
    <row r="11" spans="1:45"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row>
    <row r="12" spans="1:45"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row>
    <row r="13" spans="1:45"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row>
    <row r="14" spans="1:45"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row>
    <row r="15" spans="1:45"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row>
    <row r="16" spans="1:45"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row>
    <row r="17" spans="1:45" x14ac:dyDescent="0.3">
      <c r="A17" s="20"/>
      <c r="B17" s="20"/>
      <c r="C17" s="20"/>
      <c r="D17" s="20"/>
      <c r="E17" s="20"/>
      <c r="F17" s="20"/>
      <c r="G17" s="20"/>
      <c r="H17" s="20"/>
      <c r="I17" s="20"/>
      <c r="J17" s="20"/>
      <c r="K17" s="20"/>
      <c r="L17" s="20"/>
      <c r="M17" s="20"/>
      <c r="N17" s="20"/>
      <c r="O17" s="34"/>
      <c r="P17" s="40" t="str" cm="1">
        <f t="array" ref="P17:T17">Sheet3!Q56:U56</f>
        <v>R01</v>
      </c>
      <c r="Q17" s="40" t="str">
        <v>R02</v>
      </c>
      <c r="R17" s="40" t="str">
        <v>R03</v>
      </c>
      <c r="S17" s="40" t="str">
        <v>R04</v>
      </c>
      <c r="T17" s="40" t="str">
        <v>R05</v>
      </c>
      <c r="U17" s="42" t="s">
        <v>1077</v>
      </c>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row>
    <row r="18" spans="1:45" x14ac:dyDescent="0.3">
      <c r="A18" s="20"/>
      <c r="B18" s="20"/>
      <c r="C18" s="20"/>
      <c r="D18" s="20"/>
      <c r="E18" s="20"/>
      <c r="F18" s="20"/>
      <c r="G18" s="20"/>
      <c r="H18" s="20"/>
      <c r="I18" s="20"/>
      <c r="J18" s="20"/>
      <c r="K18" s="20"/>
      <c r="L18" s="20"/>
      <c r="M18" s="20"/>
      <c r="N18" s="20"/>
      <c r="O18" s="41" t="str" cm="1">
        <f t="array" ref="O18:U35">IF(Sheet3!P57:V74="","",Sheet3!P57:V74)</f>
        <v>Cincinnati</v>
      </c>
      <c r="P18" s="33" t="str">
        <v/>
      </c>
      <c r="Q18" s="33" t="str">
        <v/>
      </c>
      <c r="R18" s="33" t="str">
        <v/>
      </c>
      <c r="S18" s="33" t="str">
        <v/>
      </c>
      <c r="T18" s="33" t="str">
        <v/>
      </c>
      <c r="U18" s="36" t="str">
        <v/>
      </c>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row>
    <row r="19" spans="1:45" x14ac:dyDescent="0.3">
      <c r="A19" s="20"/>
      <c r="B19" s="20"/>
      <c r="C19" s="20"/>
      <c r="D19" s="20"/>
      <c r="E19" s="20"/>
      <c r="F19" s="20"/>
      <c r="G19" s="20"/>
      <c r="H19" s="20"/>
      <c r="I19" s="20"/>
      <c r="J19" s="20"/>
      <c r="K19" s="20"/>
      <c r="L19" s="20"/>
      <c r="M19" s="20"/>
      <c r="N19" s="20"/>
      <c r="O19" s="35" t="str">
        <v>C0003</v>
      </c>
      <c r="P19" s="33">
        <v>891</v>
      </c>
      <c r="Q19" s="33">
        <v>1332</v>
      </c>
      <c r="R19" s="33">
        <v>1282</v>
      </c>
      <c r="S19" s="33">
        <v>739</v>
      </c>
      <c r="T19" s="33">
        <v>560</v>
      </c>
      <c r="U19" s="36">
        <v>4804</v>
      </c>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row>
    <row r="20" spans="1:45" x14ac:dyDescent="0.3">
      <c r="A20" s="20"/>
      <c r="B20" s="20"/>
      <c r="C20" s="20"/>
      <c r="D20" s="20"/>
      <c r="E20" s="20"/>
      <c r="F20" s="20"/>
      <c r="G20" s="20"/>
      <c r="H20" s="20"/>
      <c r="I20" s="20"/>
      <c r="J20" s="20"/>
      <c r="K20" s="20"/>
      <c r="L20" s="20"/>
      <c r="M20" s="20"/>
      <c r="N20" s="20"/>
      <c r="O20" s="35" t="str">
        <v>C0004</v>
      </c>
      <c r="P20" s="33">
        <v>1991</v>
      </c>
      <c r="Q20" s="33">
        <v>1886</v>
      </c>
      <c r="R20" s="33">
        <v>1206</v>
      </c>
      <c r="S20" s="33">
        <v>884</v>
      </c>
      <c r="T20" s="33">
        <v>1722</v>
      </c>
      <c r="U20" s="36">
        <v>7689</v>
      </c>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row>
    <row r="21" spans="1:45" x14ac:dyDescent="0.3">
      <c r="A21" s="20"/>
      <c r="B21" s="20"/>
      <c r="C21" s="20"/>
      <c r="D21" s="20"/>
      <c r="E21" s="20"/>
      <c r="F21" s="20"/>
      <c r="G21" s="20"/>
      <c r="H21" s="20"/>
      <c r="I21" s="20"/>
      <c r="J21" s="20"/>
      <c r="K21" s="20"/>
      <c r="L21" s="20"/>
      <c r="M21" s="20"/>
      <c r="N21" s="20"/>
      <c r="O21" s="35" t="str">
        <v>C0011</v>
      </c>
      <c r="P21" s="33">
        <v>1163</v>
      </c>
      <c r="Q21" s="33">
        <v>1180</v>
      </c>
      <c r="R21" s="33">
        <v>1616</v>
      </c>
      <c r="S21" s="33">
        <v>1043</v>
      </c>
      <c r="T21" s="33">
        <v>1747</v>
      </c>
      <c r="U21" s="36">
        <v>6749</v>
      </c>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row>
    <row r="22" spans="1:45" x14ac:dyDescent="0.3">
      <c r="A22" s="20"/>
      <c r="B22" s="20"/>
      <c r="C22" s="20"/>
      <c r="D22" s="20"/>
      <c r="E22" s="20"/>
      <c r="F22" s="20"/>
      <c r="G22" s="20"/>
      <c r="H22" s="20"/>
      <c r="I22" s="20"/>
      <c r="J22" s="20"/>
      <c r="K22" s="20"/>
      <c r="L22" s="20"/>
      <c r="M22" s="20"/>
      <c r="N22" s="20"/>
      <c r="O22" s="35" t="str">
        <v>C0012</v>
      </c>
      <c r="P22" s="33">
        <v>1438</v>
      </c>
      <c r="Q22" s="33">
        <v>1616</v>
      </c>
      <c r="R22" s="33">
        <v>866</v>
      </c>
      <c r="S22" s="33">
        <v>829</v>
      </c>
      <c r="T22" s="33">
        <v>2070</v>
      </c>
      <c r="U22" s="36">
        <v>6819</v>
      </c>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row>
    <row r="23" spans="1:45" x14ac:dyDescent="0.3">
      <c r="A23" s="20"/>
      <c r="B23" s="20"/>
      <c r="C23" s="20"/>
      <c r="D23" s="20"/>
      <c r="E23" s="20"/>
      <c r="F23" s="20"/>
      <c r="G23" s="20"/>
      <c r="H23" s="20"/>
      <c r="I23" s="20"/>
      <c r="J23" s="20"/>
      <c r="K23" s="20"/>
      <c r="L23" s="20"/>
      <c r="M23" s="20"/>
      <c r="N23" s="20"/>
      <c r="O23" s="41" t="str">
        <v>Cleveland</v>
      </c>
      <c r="P23" s="33" t="str">
        <v/>
      </c>
      <c r="Q23" s="33" t="str">
        <v/>
      </c>
      <c r="R23" s="33" t="str">
        <v/>
      </c>
      <c r="S23" s="33" t="str">
        <v/>
      </c>
      <c r="T23" s="33" t="str">
        <v/>
      </c>
      <c r="U23" s="36" t="str">
        <v/>
      </c>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row>
    <row r="24" spans="1:45" x14ac:dyDescent="0.3">
      <c r="A24" s="20"/>
      <c r="B24" s="20"/>
      <c r="C24" s="20"/>
      <c r="D24" s="20"/>
      <c r="E24" s="20"/>
      <c r="F24" s="20"/>
      <c r="G24" s="20"/>
      <c r="H24" s="20"/>
      <c r="I24" s="20"/>
      <c r="J24" s="20"/>
      <c r="K24" s="20"/>
      <c r="L24" s="20"/>
      <c r="M24" s="20"/>
      <c r="N24" s="20"/>
      <c r="O24" s="35" t="str">
        <v>C0002</v>
      </c>
      <c r="P24" s="33">
        <v>1233</v>
      </c>
      <c r="Q24" s="33">
        <v>223</v>
      </c>
      <c r="R24" s="33">
        <v>1680</v>
      </c>
      <c r="S24" s="33">
        <v>990</v>
      </c>
      <c r="T24" s="33">
        <v>1508</v>
      </c>
      <c r="U24" s="36">
        <v>5634</v>
      </c>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row>
    <row r="25" spans="1:45" x14ac:dyDescent="0.3">
      <c r="A25" s="20"/>
      <c r="B25" s="20"/>
      <c r="C25" s="20"/>
      <c r="D25" s="20"/>
      <c r="E25" s="20"/>
      <c r="F25" s="20"/>
      <c r="G25" s="20"/>
      <c r="H25" s="20"/>
      <c r="I25" s="20"/>
      <c r="J25" s="20"/>
      <c r="K25" s="20"/>
      <c r="L25" s="20"/>
      <c r="M25" s="20"/>
      <c r="N25" s="20"/>
      <c r="O25" s="35" t="str">
        <v>C0007</v>
      </c>
      <c r="P25" s="33">
        <v>1598</v>
      </c>
      <c r="Q25" s="33">
        <v>1907</v>
      </c>
      <c r="R25" s="33">
        <v>869</v>
      </c>
      <c r="S25" s="33">
        <v>1426</v>
      </c>
      <c r="T25" s="33">
        <v>1416</v>
      </c>
      <c r="U25" s="36">
        <v>7216</v>
      </c>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row>
    <row r="26" spans="1:45" x14ac:dyDescent="0.3">
      <c r="A26" s="20"/>
      <c r="B26" s="20"/>
      <c r="C26" s="20"/>
      <c r="D26" s="20"/>
      <c r="E26" s="20"/>
      <c r="F26" s="20"/>
      <c r="G26" s="20"/>
      <c r="H26" s="20"/>
      <c r="I26" s="20"/>
      <c r="J26" s="20"/>
      <c r="K26" s="20"/>
      <c r="L26" s="20"/>
      <c r="M26" s="20"/>
      <c r="N26" s="20"/>
      <c r="O26" s="35" t="str">
        <v>C0008</v>
      </c>
      <c r="P26" s="33">
        <v>900</v>
      </c>
      <c r="Q26" s="33">
        <v>1016</v>
      </c>
      <c r="R26" s="33">
        <v>960</v>
      </c>
      <c r="S26" s="33">
        <v>940</v>
      </c>
      <c r="T26" s="33">
        <v>1193</v>
      </c>
      <c r="U26" s="36">
        <v>5009</v>
      </c>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row>
    <row r="27" spans="1:45" x14ac:dyDescent="0.3">
      <c r="A27" s="20"/>
      <c r="B27" s="20"/>
      <c r="C27" s="20"/>
      <c r="D27" s="20"/>
      <c r="E27" s="20"/>
      <c r="F27" s="20"/>
      <c r="G27" s="20"/>
      <c r="H27" s="20"/>
      <c r="I27" s="20"/>
      <c r="J27" s="20"/>
      <c r="K27" s="20"/>
      <c r="L27" s="20"/>
      <c r="M27" s="20"/>
      <c r="N27" s="20"/>
      <c r="O27" s="35" t="str">
        <v>C0010</v>
      </c>
      <c r="P27" s="33">
        <v>900</v>
      </c>
      <c r="Q27" s="33">
        <v>1470</v>
      </c>
      <c r="R27" s="33">
        <v>1617</v>
      </c>
      <c r="S27" s="33">
        <v>1314</v>
      </c>
      <c r="T27" s="33">
        <v>941</v>
      </c>
      <c r="U27" s="36">
        <v>6242</v>
      </c>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row>
    <row r="28" spans="1:45" x14ac:dyDescent="0.3">
      <c r="A28" s="20"/>
      <c r="B28" s="20"/>
      <c r="C28" s="20"/>
      <c r="D28" s="20"/>
      <c r="E28" s="20"/>
      <c r="F28" s="20"/>
      <c r="G28" s="20"/>
      <c r="H28" s="20"/>
      <c r="I28" s="20"/>
      <c r="J28" s="20"/>
      <c r="K28" s="20"/>
      <c r="L28" s="20"/>
      <c r="M28" s="20"/>
      <c r="N28" s="20"/>
      <c r="O28" s="35" t="str">
        <v>C0013</v>
      </c>
      <c r="P28" s="33">
        <v>1255</v>
      </c>
      <c r="Q28" s="33">
        <v>516</v>
      </c>
      <c r="R28" s="33">
        <v>1874</v>
      </c>
      <c r="S28" s="33">
        <v>1863</v>
      </c>
      <c r="T28" s="33">
        <v>1722</v>
      </c>
      <c r="U28" s="36">
        <v>7230</v>
      </c>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row>
    <row r="29" spans="1:45" x14ac:dyDescent="0.3">
      <c r="A29" s="20"/>
      <c r="B29" s="20"/>
      <c r="C29" s="20"/>
      <c r="D29" s="20"/>
      <c r="E29" s="20"/>
      <c r="F29" s="20"/>
      <c r="G29" s="20"/>
      <c r="H29" s="20"/>
      <c r="I29" s="20"/>
      <c r="J29" s="20"/>
      <c r="K29" s="20"/>
      <c r="L29" s="20"/>
      <c r="M29" s="20"/>
      <c r="N29" s="20"/>
      <c r="O29" s="35" t="str">
        <v>C0015</v>
      </c>
      <c r="P29" s="33">
        <v>1138</v>
      </c>
      <c r="Q29" s="33">
        <v>1898</v>
      </c>
      <c r="R29" s="33">
        <v>1482</v>
      </c>
      <c r="S29" s="33">
        <v>846</v>
      </c>
      <c r="T29" s="33">
        <v>1154</v>
      </c>
      <c r="U29" s="36">
        <v>6518</v>
      </c>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row>
    <row r="30" spans="1:45" x14ac:dyDescent="0.3">
      <c r="A30" s="20"/>
      <c r="B30" s="20"/>
      <c r="C30" s="20"/>
      <c r="D30" s="20"/>
      <c r="E30" s="20"/>
      <c r="F30" s="20"/>
      <c r="G30" s="20"/>
      <c r="H30" s="20"/>
      <c r="I30" s="20"/>
      <c r="J30" s="20"/>
      <c r="K30" s="20"/>
      <c r="L30" s="20"/>
      <c r="M30" s="20"/>
      <c r="N30" s="20"/>
      <c r="O30" s="41" t="str">
        <v>Columbus</v>
      </c>
      <c r="P30" s="33" t="str">
        <v/>
      </c>
      <c r="Q30" s="33" t="str">
        <v/>
      </c>
      <c r="R30" s="33" t="str">
        <v/>
      </c>
      <c r="S30" s="33" t="str">
        <v/>
      </c>
      <c r="T30" s="33" t="str">
        <v/>
      </c>
      <c r="U30" s="36" t="str">
        <v/>
      </c>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row>
    <row r="31" spans="1:45" x14ac:dyDescent="0.3">
      <c r="A31" s="20"/>
      <c r="B31" s="20"/>
      <c r="C31" s="20"/>
      <c r="D31" s="20"/>
      <c r="E31" s="20"/>
      <c r="F31" s="20"/>
      <c r="G31" s="20"/>
      <c r="H31" s="20"/>
      <c r="I31" s="20"/>
      <c r="J31" s="20"/>
      <c r="K31" s="20"/>
      <c r="L31" s="20"/>
      <c r="M31" s="20"/>
      <c r="N31" s="20"/>
      <c r="O31" s="35" t="str">
        <v>C0001</v>
      </c>
      <c r="P31" s="33">
        <v>1655</v>
      </c>
      <c r="Q31" s="33">
        <v>805</v>
      </c>
      <c r="R31" s="33">
        <v>2263</v>
      </c>
      <c r="S31" s="33">
        <v>987</v>
      </c>
      <c r="T31" s="33">
        <v>1075</v>
      </c>
      <c r="U31" s="36">
        <v>6785</v>
      </c>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row>
    <row r="32" spans="1:45" x14ac:dyDescent="0.3">
      <c r="A32" s="20"/>
      <c r="B32" s="20"/>
      <c r="C32" s="20"/>
      <c r="D32" s="20"/>
      <c r="E32" s="20"/>
      <c r="F32" s="20"/>
      <c r="G32" s="20"/>
      <c r="H32" s="20"/>
      <c r="I32" s="20"/>
      <c r="J32" s="20"/>
      <c r="K32" s="20"/>
      <c r="L32" s="20"/>
      <c r="M32" s="20"/>
      <c r="N32" s="20"/>
      <c r="O32" s="35" t="str">
        <v>C0005</v>
      </c>
      <c r="P32" s="33">
        <v>1104</v>
      </c>
      <c r="Q32" s="33">
        <v>2280</v>
      </c>
      <c r="R32" s="33">
        <v>1445</v>
      </c>
      <c r="S32" s="33">
        <v>1722</v>
      </c>
      <c r="T32" s="33">
        <v>1196</v>
      </c>
      <c r="U32" s="36">
        <v>7747</v>
      </c>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row>
    <row r="33" spans="1:45" x14ac:dyDescent="0.3">
      <c r="A33" s="20"/>
      <c r="B33" s="20"/>
      <c r="C33" s="20"/>
      <c r="D33" s="20"/>
      <c r="E33" s="20"/>
      <c r="F33" s="20"/>
      <c r="G33" s="20"/>
      <c r="H33" s="20"/>
      <c r="I33" s="20"/>
      <c r="J33" s="20"/>
      <c r="K33" s="20"/>
      <c r="L33" s="20"/>
      <c r="M33" s="20"/>
      <c r="N33" s="20"/>
      <c r="O33" s="35" t="str">
        <v>C0006</v>
      </c>
      <c r="P33" s="33">
        <v>372</v>
      </c>
      <c r="Q33" s="33">
        <v>1818</v>
      </c>
      <c r="R33" s="33">
        <v>1346</v>
      </c>
      <c r="S33" s="33">
        <v>1156</v>
      </c>
      <c r="T33" s="33">
        <v>1484</v>
      </c>
      <c r="U33" s="36">
        <v>6176</v>
      </c>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row>
    <row r="34" spans="1:45" x14ac:dyDescent="0.3">
      <c r="A34" s="20"/>
      <c r="B34" s="20"/>
      <c r="C34" s="20"/>
      <c r="D34" s="20"/>
      <c r="E34" s="20"/>
      <c r="F34" s="20"/>
      <c r="G34" s="20"/>
      <c r="H34" s="20"/>
      <c r="I34" s="20"/>
      <c r="J34" s="20"/>
      <c r="K34" s="20"/>
      <c r="L34" s="20"/>
      <c r="M34" s="20"/>
      <c r="N34" s="20"/>
      <c r="O34" s="35" t="str">
        <v>C0009</v>
      </c>
      <c r="P34" s="33">
        <v>1415</v>
      </c>
      <c r="Q34" s="33">
        <v>1271</v>
      </c>
      <c r="R34" s="33">
        <v>1214</v>
      </c>
      <c r="S34" s="33">
        <v>1135</v>
      </c>
      <c r="T34" s="33">
        <v>1566</v>
      </c>
      <c r="U34" s="36">
        <v>6601</v>
      </c>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row>
    <row r="35" spans="1:45" x14ac:dyDescent="0.3">
      <c r="A35" s="20"/>
      <c r="B35" s="20"/>
      <c r="C35" s="20"/>
      <c r="D35" s="20"/>
      <c r="E35" s="20"/>
      <c r="F35" s="20"/>
      <c r="G35" s="20"/>
      <c r="H35" s="20"/>
      <c r="I35" s="20"/>
      <c r="J35" s="20"/>
      <c r="K35" s="20"/>
      <c r="L35" s="20"/>
      <c r="M35" s="20"/>
      <c r="N35" s="20"/>
      <c r="O35" s="37" t="str">
        <v>C0014</v>
      </c>
      <c r="P35" s="38">
        <v>1362</v>
      </c>
      <c r="Q35" s="38">
        <v>1363</v>
      </c>
      <c r="R35" s="38">
        <v>1152</v>
      </c>
      <c r="S35" s="38">
        <v>777</v>
      </c>
      <c r="T35" s="38">
        <v>750</v>
      </c>
      <c r="U35" s="39">
        <v>5404</v>
      </c>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row>
    <row r="36" spans="1:45" x14ac:dyDescent="0.3">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row>
    <row r="37" spans="1:45"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row>
    <row r="38" spans="1:45"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row>
    <row r="39" spans="1:45"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row>
    <row r="40" spans="1:45"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row>
    <row r="41" spans="1:45"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row>
    <row r="42" spans="1:45"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row>
    <row r="43" spans="1:45"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row>
    <row r="44" spans="1:45"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row>
    <row r="45" spans="1:45"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row>
    <row r="46" spans="1:45"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row>
    <row r="47" spans="1:45" x14ac:dyDescent="0.3">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row>
    <row r="48" spans="1:45" x14ac:dyDescent="0.3">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row>
    <row r="49" spans="1:45" x14ac:dyDescent="0.3">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row>
    <row r="50" spans="1:45" x14ac:dyDescent="0.3">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row>
    <row r="51" spans="1:45" x14ac:dyDescent="0.3">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row>
    <row r="52" spans="1:45" x14ac:dyDescent="0.3">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row>
    <row r="53" spans="1:45" x14ac:dyDescent="0.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row>
    <row r="54" spans="1:45" x14ac:dyDescent="0.3">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row>
    <row r="55" spans="1:45" x14ac:dyDescent="0.3">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row>
    <row r="56" spans="1:45" x14ac:dyDescent="0.3">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row>
    <row r="57" spans="1:45" x14ac:dyDescent="0.3">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row>
    <row r="58" spans="1:45" x14ac:dyDescent="0.3">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row>
    <row r="59" spans="1:45" x14ac:dyDescent="0.3">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row>
    <row r="60" spans="1:45" x14ac:dyDescent="0.3">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row>
    <row r="61" spans="1:45" x14ac:dyDescent="0.3">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row>
    <row r="62" spans="1:45" x14ac:dyDescent="0.3">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row>
    <row r="63" spans="1:45" x14ac:dyDescent="0.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row>
    <row r="64" spans="1:45" x14ac:dyDescent="0.3">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row>
    <row r="65" spans="1:45" x14ac:dyDescent="0.3">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row>
    <row r="66" spans="1:45" x14ac:dyDescent="0.3">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row>
    <row r="67" spans="1:45" x14ac:dyDescent="0.3">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row>
    <row r="68" spans="1:45" x14ac:dyDescent="0.3">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row>
    <row r="69" spans="1:45" x14ac:dyDescent="0.3">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row>
    <row r="70" spans="1:45" x14ac:dyDescent="0.3">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row>
    <row r="71" spans="1:45" x14ac:dyDescent="0.3">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row>
    <row r="72" spans="1:45" x14ac:dyDescent="0.3">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row>
    <row r="73" spans="1:45" x14ac:dyDescent="0.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row>
    <row r="74" spans="1:45" x14ac:dyDescent="0.3">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row>
    <row r="75" spans="1:45" x14ac:dyDescent="0.3">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row>
    <row r="76" spans="1:45" x14ac:dyDescent="0.3">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row>
    <row r="77" spans="1:45" x14ac:dyDescent="0.3">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row>
    <row r="78" spans="1:45" x14ac:dyDescent="0.3">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row>
    <row r="79" spans="1:45" x14ac:dyDescent="0.3">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row>
    <row r="80" spans="1:45" x14ac:dyDescent="0.3">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row>
    <row r="81" spans="1:45" x14ac:dyDescent="0.3">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row>
    <row r="82" spans="1:45" x14ac:dyDescent="0.3">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row>
    <row r="83" spans="1:45" x14ac:dyDescent="0.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row>
    <row r="84" spans="1:45" x14ac:dyDescent="0.3">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row>
    <row r="85" spans="1:45" x14ac:dyDescent="0.3">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row>
    <row r="86" spans="1:45" x14ac:dyDescent="0.3">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row>
  </sheetData>
  <conditionalFormatting sqref="P18:T35">
    <cfRule type="dataBar" priority="2">
      <dataBar>
        <cfvo type="num" val="0"/>
        <cfvo type="formula" val="MAX($P$18:$T$35)*2"/>
        <color theme="1" tint="0.14999847407452621"/>
      </dataBar>
      <extLst>
        <ext xmlns:x14="http://schemas.microsoft.com/office/spreadsheetml/2009/9/main" uri="{B025F937-C7B1-47D3-B67F-A62EFF666E3E}">
          <x14:id>{0EDDDB6B-85C0-4999-86A4-64EB926FA3C9}</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668AC2F6-D378-42BE-8239-B15292127012}">
            <xm:f>P$17=Sheet3!$K$34</xm:f>
            <x14:dxf>
              <fill>
                <patternFill>
                  <bgColor theme="4" tint="0.59996337778862885"/>
                </patternFill>
              </fill>
              <border>
                <left style="thin">
                  <color theme="1" tint="0.34998626667073579"/>
                </left>
                <right style="thin">
                  <color theme="1" tint="0.34998626667073579"/>
                </right>
                <vertical/>
                <horizontal/>
              </border>
            </x14:dxf>
          </x14:cfRule>
          <xm:sqref>P17:T35</xm:sqref>
        </x14:conditionalFormatting>
        <x14:conditionalFormatting xmlns:xm="http://schemas.microsoft.com/office/excel/2006/main">
          <x14:cfRule type="dataBar" id="{0EDDDB6B-85C0-4999-86A4-64EB926FA3C9}">
            <x14:dataBar minLength="0" maxLength="100" gradient="0">
              <x14:cfvo type="num">
                <xm:f>0</xm:f>
              </x14:cfvo>
              <x14:cfvo type="formula">
                <xm:f>MAX($P$18:$T$35)*2</xm:f>
              </x14:cfvo>
              <x14:negativeFillColor rgb="FFFF0000"/>
              <x14:axisColor rgb="FF000000"/>
            </x14:dataBar>
          </x14:cfRule>
          <xm:sqref>P18:T35</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315C-E3E2-4A48-92D5-6C8B13671745}">
  <dimension ref="A3:Y74"/>
  <sheetViews>
    <sheetView topLeftCell="A8" zoomScale="74" zoomScaleNormal="114" workbookViewId="0">
      <selection activeCell="Y29" sqref="Y29"/>
    </sheetView>
  </sheetViews>
  <sheetFormatPr defaultRowHeight="14.4" x14ac:dyDescent="0.3"/>
  <cols>
    <col min="1" max="1" width="9.88671875" bestFit="1" customWidth="1"/>
    <col min="2" max="2" width="13.88671875" bestFit="1" customWidth="1"/>
    <col min="3" max="3" width="9.88671875" bestFit="1" customWidth="1"/>
    <col min="4" max="4" width="10.88671875" bestFit="1" customWidth="1"/>
    <col min="5" max="5" width="7.44140625" bestFit="1" customWidth="1"/>
    <col min="6" max="6" width="9.21875" bestFit="1" customWidth="1"/>
    <col min="7" max="7" width="11.5546875" bestFit="1" customWidth="1"/>
    <col min="8" max="8" width="9.88671875" bestFit="1" customWidth="1"/>
    <col min="9" max="9" width="13.88671875" bestFit="1" customWidth="1"/>
    <col min="10" max="10" width="9.88671875" bestFit="1" customWidth="1"/>
    <col min="11" max="11" width="13.88671875" bestFit="1" customWidth="1"/>
    <col min="12" max="15" width="9.21875" bestFit="1" customWidth="1"/>
    <col min="16" max="16" width="23.88671875" bestFit="1" customWidth="1"/>
    <col min="17" max="17" width="16.88671875" bestFit="1" customWidth="1"/>
    <col min="18" max="21" width="6.88671875" bestFit="1" customWidth="1"/>
    <col min="22" max="22" width="11.5546875" bestFit="1" customWidth="1"/>
    <col min="23" max="2002" width="9.21875" bestFit="1" customWidth="1"/>
    <col min="2003" max="2003" width="10.77734375" bestFit="1" customWidth="1"/>
  </cols>
  <sheetData>
    <row r="3" spans="1:17" x14ac:dyDescent="0.3">
      <c r="A3" t="s">
        <v>1040</v>
      </c>
      <c r="B3" t="s">
        <v>1041</v>
      </c>
      <c r="C3" t="s">
        <v>1042</v>
      </c>
      <c r="D3" t="s">
        <v>1043</v>
      </c>
      <c r="E3" t="s">
        <v>1044</v>
      </c>
    </row>
    <row r="4" spans="1:17" x14ac:dyDescent="0.3">
      <c r="A4" s="21">
        <v>1000</v>
      </c>
      <c r="B4" s="30">
        <v>96623</v>
      </c>
      <c r="C4" s="21">
        <v>89850</v>
      </c>
      <c r="D4" s="23">
        <v>3.8854000000000033</v>
      </c>
      <c r="E4" s="22">
        <v>307</v>
      </c>
    </row>
    <row r="11" spans="1:17" x14ac:dyDescent="0.3">
      <c r="A11" t="s">
        <v>1040</v>
      </c>
      <c r="B11" t="s">
        <v>1041</v>
      </c>
      <c r="C11" t="s">
        <v>1042</v>
      </c>
      <c r="D11" t="s">
        <v>1043</v>
      </c>
      <c r="E11" t="s">
        <v>1044</v>
      </c>
    </row>
    <row r="12" spans="1:17" x14ac:dyDescent="0.3">
      <c r="A12" s="21">
        <v>200</v>
      </c>
      <c r="B12" s="31">
        <v>20104</v>
      </c>
      <c r="C12" s="21">
        <v>18209</v>
      </c>
      <c r="D12" s="23">
        <v>3.8824999999999998</v>
      </c>
      <c r="E12" s="22">
        <v>51</v>
      </c>
    </row>
    <row r="13" spans="1:17" x14ac:dyDescent="0.3">
      <c r="O13" t="s">
        <v>1073</v>
      </c>
      <c r="P13" t="str">
        <f>K34</f>
        <v>R05</v>
      </c>
    </row>
    <row r="15" spans="1:17" x14ac:dyDescent="0.3">
      <c r="M15" t="s">
        <v>1068</v>
      </c>
      <c r="N15" t="s">
        <v>1069</v>
      </c>
      <c r="O15" t="s">
        <v>1070</v>
      </c>
      <c r="P15" t="s">
        <v>1071</v>
      </c>
      <c r="Q15" t="s">
        <v>1072</v>
      </c>
    </row>
    <row r="16" spans="1:17" x14ac:dyDescent="0.3">
      <c r="M16" t="str" cm="1">
        <f t="array" ref="M16:O20">I19:K23</f>
        <v>R01</v>
      </c>
      <c r="N16">
        <v>189</v>
      </c>
      <c r="O16" s="27">
        <v>18415</v>
      </c>
      <c r="P16" t="e">
        <f>IF(M16=$P$13,N16,NA())</f>
        <v>#N/A</v>
      </c>
      <c r="Q16" t="e">
        <f>IF(M16=$P$13,O16,NA())</f>
        <v>#N/A</v>
      </c>
    </row>
    <row r="17" spans="2:25" x14ac:dyDescent="0.3">
      <c r="M17" t="str">
        <v>R02</v>
      </c>
      <c r="N17">
        <v>218</v>
      </c>
      <c r="O17" s="27">
        <v>20581</v>
      </c>
      <c r="P17" t="e">
        <f t="shared" ref="P17:P20" si="0">IF(M17=$P$13,N17,NA())</f>
        <v>#N/A</v>
      </c>
      <c r="Q17" t="e">
        <f t="shared" ref="Q17:Q20" si="1">IF(M17=$P$13,O17,NA())</f>
        <v>#N/A</v>
      </c>
    </row>
    <row r="18" spans="2:25" x14ac:dyDescent="0.3">
      <c r="I18" s="24" t="s">
        <v>1045</v>
      </c>
      <c r="J18" t="s">
        <v>1040</v>
      </c>
      <c r="K18" t="s">
        <v>1067</v>
      </c>
      <c r="M18" t="str">
        <v>R03</v>
      </c>
      <c r="N18">
        <v>207</v>
      </c>
      <c r="O18" s="27">
        <v>20872</v>
      </c>
      <c r="P18" t="e">
        <f t="shared" si="0"/>
        <v>#N/A</v>
      </c>
      <c r="Q18" t="e">
        <f t="shared" si="1"/>
        <v>#N/A</v>
      </c>
    </row>
    <row r="19" spans="2:25" x14ac:dyDescent="0.3">
      <c r="I19" s="25" t="s">
        <v>11</v>
      </c>
      <c r="J19" s="21">
        <v>189</v>
      </c>
      <c r="K19" s="26">
        <v>18415</v>
      </c>
      <c r="M19" t="str">
        <v>R04</v>
      </c>
      <c r="N19">
        <v>186</v>
      </c>
      <c r="O19" s="27">
        <v>16651</v>
      </c>
      <c r="P19" t="e">
        <f t="shared" si="0"/>
        <v>#N/A</v>
      </c>
      <c r="Q19" t="e">
        <f t="shared" si="1"/>
        <v>#N/A</v>
      </c>
    </row>
    <row r="20" spans="2:25" x14ac:dyDescent="0.3">
      <c r="I20" s="25" t="s">
        <v>9</v>
      </c>
      <c r="J20" s="21">
        <v>218</v>
      </c>
      <c r="K20" s="26">
        <v>20581</v>
      </c>
      <c r="M20" t="str">
        <v>R05</v>
      </c>
      <c r="N20">
        <v>200</v>
      </c>
      <c r="O20" s="27">
        <v>20104</v>
      </c>
      <c r="P20">
        <f t="shared" si="0"/>
        <v>200</v>
      </c>
      <c r="Q20">
        <f t="shared" si="1"/>
        <v>20104</v>
      </c>
    </row>
    <row r="21" spans="2:25" x14ac:dyDescent="0.3">
      <c r="I21" s="25" t="s">
        <v>6</v>
      </c>
      <c r="J21" s="21">
        <v>207</v>
      </c>
      <c r="K21" s="26">
        <v>20872</v>
      </c>
    </row>
    <row r="22" spans="2:25" x14ac:dyDescent="0.3">
      <c r="I22" s="25" t="s">
        <v>13</v>
      </c>
      <c r="J22" s="21">
        <v>186</v>
      </c>
      <c r="K22" s="26">
        <v>16651</v>
      </c>
    </row>
    <row r="23" spans="2:25" x14ac:dyDescent="0.3">
      <c r="I23" s="25" t="s">
        <v>10</v>
      </c>
      <c r="J23" s="21">
        <v>200</v>
      </c>
      <c r="K23" s="26">
        <v>20104</v>
      </c>
    </row>
    <row r="24" spans="2:25" x14ac:dyDescent="0.3">
      <c r="I24" s="25" t="s">
        <v>1046</v>
      </c>
      <c r="J24" s="21">
        <v>1000</v>
      </c>
      <c r="K24" s="26">
        <v>96623</v>
      </c>
    </row>
    <row r="25" spans="2:25" x14ac:dyDescent="0.3">
      <c r="B25" s="24" t="s">
        <v>1045</v>
      </c>
      <c r="C25" t="s">
        <v>1040</v>
      </c>
      <c r="D25" t="s">
        <v>1059</v>
      </c>
    </row>
    <row r="26" spans="2:25" x14ac:dyDescent="0.3">
      <c r="B26" s="25" t="s">
        <v>1047</v>
      </c>
      <c r="C26" s="21">
        <v>21</v>
      </c>
      <c r="D26" s="21">
        <v>21</v>
      </c>
    </row>
    <row r="27" spans="2:25" x14ac:dyDescent="0.3">
      <c r="B27" s="25" t="s">
        <v>1048</v>
      </c>
      <c r="C27" s="21">
        <v>18</v>
      </c>
      <c r="D27" s="21">
        <v>18</v>
      </c>
    </row>
    <row r="28" spans="2:25" x14ac:dyDescent="0.3">
      <c r="B28" s="25" t="s">
        <v>1049</v>
      </c>
      <c r="C28" s="21">
        <v>31</v>
      </c>
      <c r="D28" s="21">
        <v>31</v>
      </c>
      <c r="Y28" t="e">
        <f>#REF!</f>
        <v>#REF!</v>
      </c>
    </row>
    <row r="29" spans="2:25" x14ac:dyDescent="0.3">
      <c r="B29" s="25" t="s">
        <v>1050</v>
      </c>
      <c r="C29" s="21">
        <v>20</v>
      </c>
      <c r="D29" s="21">
        <v>20</v>
      </c>
    </row>
    <row r="30" spans="2:25" x14ac:dyDescent="0.3">
      <c r="B30" s="25" t="s">
        <v>1051</v>
      </c>
      <c r="C30" s="21">
        <v>8</v>
      </c>
      <c r="D30" s="21">
        <v>8</v>
      </c>
    </row>
    <row r="31" spans="2:25" x14ac:dyDescent="0.3">
      <c r="B31" s="25" t="s">
        <v>1052</v>
      </c>
      <c r="C31" s="21">
        <v>12</v>
      </c>
      <c r="D31" s="21">
        <v>12</v>
      </c>
    </row>
    <row r="32" spans="2:25" x14ac:dyDescent="0.3">
      <c r="B32" s="25" t="s">
        <v>1053</v>
      </c>
      <c r="C32" s="21">
        <v>12</v>
      </c>
      <c r="D32" s="21">
        <v>12</v>
      </c>
      <c r="H32" t="s">
        <v>1040</v>
      </c>
    </row>
    <row r="33" spans="2:11" x14ac:dyDescent="0.3">
      <c r="B33" s="25" t="s">
        <v>1054</v>
      </c>
      <c r="C33" s="21">
        <v>7</v>
      </c>
      <c r="D33" s="21">
        <v>7</v>
      </c>
      <c r="G33" s="25" t="s">
        <v>1063</v>
      </c>
      <c r="H33" s="21">
        <v>27</v>
      </c>
      <c r="K33" s="24" t="s">
        <v>1045</v>
      </c>
    </row>
    <row r="34" spans="2:11" x14ac:dyDescent="0.3">
      <c r="B34" s="25" t="s">
        <v>1055</v>
      </c>
      <c r="C34" s="21">
        <v>20</v>
      </c>
      <c r="D34" s="21">
        <v>20</v>
      </c>
      <c r="G34" s="25" t="s">
        <v>1061</v>
      </c>
      <c r="H34" s="21">
        <v>22</v>
      </c>
      <c r="K34" s="28" t="s">
        <v>10</v>
      </c>
    </row>
    <row r="35" spans="2:11" x14ac:dyDescent="0.3">
      <c r="B35" s="25" t="s">
        <v>1056</v>
      </c>
      <c r="C35" s="21">
        <v>24</v>
      </c>
      <c r="D35" s="21">
        <v>24</v>
      </c>
      <c r="G35" s="25" t="s">
        <v>1065</v>
      </c>
      <c r="H35" s="21">
        <v>27</v>
      </c>
    </row>
    <row r="36" spans="2:11" x14ac:dyDescent="0.3">
      <c r="B36" s="25" t="s">
        <v>1057</v>
      </c>
      <c r="C36" s="21">
        <v>12</v>
      </c>
      <c r="D36" s="21">
        <v>12</v>
      </c>
      <c r="G36" s="25" t="s">
        <v>1066</v>
      </c>
      <c r="H36" s="21">
        <v>27</v>
      </c>
    </row>
    <row r="37" spans="2:11" x14ac:dyDescent="0.3">
      <c r="B37" s="25" t="s">
        <v>1058</v>
      </c>
      <c r="C37" s="21">
        <v>15</v>
      </c>
      <c r="D37" s="21">
        <v>15</v>
      </c>
      <c r="G37" s="25" t="s">
        <v>1064</v>
      </c>
      <c r="H37" s="21">
        <v>27</v>
      </c>
    </row>
    <row r="38" spans="2:11" x14ac:dyDescent="0.3">
      <c r="B38" s="25" t="s">
        <v>1046</v>
      </c>
      <c r="C38" s="21">
        <v>200</v>
      </c>
      <c r="D38" s="21">
        <v>200</v>
      </c>
      <c r="G38" s="25" t="s">
        <v>1060</v>
      </c>
      <c r="H38" s="21">
        <v>32</v>
      </c>
    </row>
    <row r="39" spans="2:11" x14ac:dyDescent="0.3">
      <c r="G39" s="25" t="s">
        <v>1062</v>
      </c>
      <c r="H39" s="21">
        <v>38</v>
      </c>
    </row>
    <row r="40" spans="2:11" x14ac:dyDescent="0.3">
      <c r="G40" s="25" t="s">
        <v>1046</v>
      </c>
      <c r="H40" s="21">
        <v>200</v>
      </c>
    </row>
    <row r="50" spans="2:22" x14ac:dyDescent="0.3">
      <c r="B50" s="24" t="s">
        <v>1075</v>
      </c>
      <c r="C50" s="24" t="s">
        <v>1074</v>
      </c>
    </row>
    <row r="51" spans="2:22" x14ac:dyDescent="0.3">
      <c r="B51" s="24" t="s">
        <v>1045</v>
      </c>
      <c r="C51" t="s">
        <v>999</v>
      </c>
      <c r="D51" t="s">
        <v>998</v>
      </c>
      <c r="E51" t="s">
        <v>1046</v>
      </c>
    </row>
    <row r="52" spans="2:22" x14ac:dyDescent="0.3">
      <c r="B52" s="25" t="s">
        <v>1002</v>
      </c>
      <c r="C52">
        <v>144</v>
      </c>
      <c r="D52">
        <v>132</v>
      </c>
      <c r="E52">
        <v>276</v>
      </c>
    </row>
    <row r="53" spans="2:22" x14ac:dyDescent="0.3">
      <c r="B53" s="25" t="s">
        <v>1001</v>
      </c>
      <c r="C53">
        <v>326</v>
      </c>
      <c r="D53">
        <v>63</v>
      </c>
      <c r="E53">
        <v>389</v>
      </c>
    </row>
    <row r="54" spans="2:22" x14ac:dyDescent="0.3">
      <c r="B54" s="25" t="s">
        <v>1000</v>
      </c>
      <c r="C54">
        <v>129</v>
      </c>
      <c r="D54">
        <v>206</v>
      </c>
      <c r="E54">
        <v>335</v>
      </c>
    </row>
    <row r="55" spans="2:22" x14ac:dyDescent="0.3">
      <c r="B55" s="25" t="s">
        <v>1046</v>
      </c>
      <c r="C55">
        <v>599</v>
      </c>
      <c r="D55">
        <v>401</v>
      </c>
      <c r="E55">
        <v>1000</v>
      </c>
      <c r="P55" s="24" t="s">
        <v>1076</v>
      </c>
      <c r="Q55" s="24" t="s">
        <v>1074</v>
      </c>
    </row>
    <row r="56" spans="2:22" x14ac:dyDescent="0.3">
      <c r="P56" s="24" t="s">
        <v>1045</v>
      </c>
      <c r="Q56" t="s">
        <v>11</v>
      </c>
      <c r="R56" t="s">
        <v>9</v>
      </c>
      <c r="S56" t="s">
        <v>6</v>
      </c>
      <c r="T56" t="s">
        <v>13</v>
      </c>
      <c r="U56" t="s">
        <v>10</v>
      </c>
      <c r="V56" t="s">
        <v>1046</v>
      </c>
    </row>
    <row r="57" spans="2:22" x14ac:dyDescent="0.3">
      <c r="P57" s="25" t="s">
        <v>1002</v>
      </c>
    </row>
    <row r="58" spans="2:22" x14ac:dyDescent="0.3">
      <c r="P58" s="29" t="s">
        <v>20</v>
      </c>
      <c r="Q58" s="32">
        <v>891</v>
      </c>
      <c r="R58" s="32">
        <v>1332</v>
      </c>
      <c r="S58" s="32">
        <v>1282</v>
      </c>
      <c r="T58" s="32">
        <v>739</v>
      </c>
      <c r="U58" s="32">
        <v>560</v>
      </c>
      <c r="V58" s="26">
        <v>4804</v>
      </c>
    </row>
    <row r="59" spans="2:22" x14ac:dyDescent="0.3">
      <c r="I59" s="24" t="s">
        <v>1045</v>
      </c>
      <c r="J59" t="s">
        <v>1040</v>
      </c>
      <c r="P59" s="29" t="s">
        <v>12</v>
      </c>
      <c r="Q59" s="32">
        <v>1991</v>
      </c>
      <c r="R59" s="32">
        <v>1886</v>
      </c>
      <c r="S59" s="32">
        <v>1206</v>
      </c>
      <c r="T59" s="32">
        <v>884</v>
      </c>
      <c r="U59" s="32">
        <v>1722</v>
      </c>
      <c r="V59" s="26">
        <v>7689</v>
      </c>
    </row>
    <row r="60" spans="2:22" x14ac:dyDescent="0.3">
      <c r="I60" s="25">
        <v>2</v>
      </c>
      <c r="J60" s="21">
        <v>10</v>
      </c>
      <c r="P60" s="29" t="s">
        <v>8</v>
      </c>
      <c r="Q60" s="32">
        <v>1163</v>
      </c>
      <c r="R60" s="32">
        <v>1180</v>
      </c>
      <c r="S60" s="32">
        <v>1616</v>
      </c>
      <c r="T60" s="32">
        <v>1043</v>
      </c>
      <c r="U60" s="32">
        <v>1747</v>
      </c>
      <c r="V60" s="26">
        <v>6749</v>
      </c>
    </row>
    <row r="61" spans="2:22" x14ac:dyDescent="0.3">
      <c r="I61" s="25">
        <v>3</v>
      </c>
      <c r="J61" s="21">
        <v>44</v>
      </c>
      <c r="P61" s="29" t="s">
        <v>16</v>
      </c>
      <c r="Q61" s="32">
        <v>1438</v>
      </c>
      <c r="R61" s="32">
        <v>1616</v>
      </c>
      <c r="S61" s="32">
        <v>866</v>
      </c>
      <c r="T61" s="32">
        <v>829</v>
      </c>
      <c r="U61" s="32">
        <v>2070</v>
      </c>
      <c r="V61" s="26">
        <v>6819</v>
      </c>
    </row>
    <row r="62" spans="2:22" x14ac:dyDescent="0.3">
      <c r="I62" s="25">
        <v>4</v>
      </c>
      <c r="J62" s="21">
        <v>95</v>
      </c>
      <c r="P62" s="25" t="s">
        <v>1001</v>
      </c>
    </row>
    <row r="63" spans="2:22" x14ac:dyDescent="0.3">
      <c r="I63" s="25">
        <v>5</v>
      </c>
      <c r="J63" s="21">
        <v>51</v>
      </c>
      <c r="P63" s="29" t="s">
        <v>24</v>
      </c>
      <c r="Q63" s="32">
        <v>1233</v>
      </c>
      <c r="R63" s="32">
        <v>223</v>
      </c>
      <c r="S63" s="32">
        <v>1680</v>
      </c>
      <c r="T63" s="32">
        <v>990</v>
      </c>
      <c r="U63" s="32">
        <v>1508</v>
      </c>
      <c r="V63" s="26">
        <v>5634</v>
      </c>
    </row>
    <row r="64" spans="2:22" x14ac:dyDescent="0.3">
      <c r="I64" s="25" t="s">
        <v>1046</v>
      </c>
      <c r="J64" s="21">
        <v>200</v>
      </c>
      <c r="P64" s="29" t="s">
        <v>15</v>
      </c>
      <c r="Q64" s="32">
        <v>1598</v>
      </c>
      <c r="R64" s="32">
        <v>1907</v>
      </c>
      <c r="S64" s="32">
        <v>869</v>
      </c>
      <c r="T64" s="32">
        <v>1426</v>
      </c>
      <c r="U64" s="32">
        <v>1416</v>
      </c>
      <c r="V64" s="26">
        <v>7216</v>
      </c>
    </row>
    <row r="65" spans="16:22" x14ac:dyDescent="0.3">
      <c r="P65" s="29" t="s">
        <v>5</v>
      </c>
      <c r="Q65" s="32">
        <v>900</v>
      </c>
      <c r="R65" s="32">
        <v>1016</v>
      </c>
      <c r="S65" s="32">
        <v>960</v>
      </c>
      <c r="T65" s="32">
        <v>940</v>
      </c>
      <c r="U65" s="32">
        <v>1193</v>
      </c>
      <c r="V65" s="26">
        <v>5009</v>
      </c>
    </row>
    <row r="66" spans="16:22" x14ac:dyDescent="0.3">
      <c r="P66" s="29" t="s">
        <v>18</v>
      </c>
      <c r="Q66" s="32">
        <v>900</v>
      </c>
      <c r="R66" s="32">
        <v>1470</v>
      </c>
      <c r="S66" s="32">
        <v>1617</v>
      </c>
      <c r="T66" s="32">
        <v>1314</v>
      </c>
      <c r="U66" s="32">
        <v>941</v>
      </c>
      <c r="V66" s="26">
        <v>6242</v>
      </c>
    </row>
    <row r="67" spans="16:22" x14ac:dyDescent="0.3">
      <c r="P67" s="29" t="s">
        <v>14</v>
      </c>
      <c r="Q67" s="32">
        <v>1255</v>
      </c>
      <c r="R67" s="32">
        <v>516</v>
      </c>
      <c r="S67" s="32">
        <v>1874</v>
      </c>
      <c r="T67" s="32">
        <v>1863</v>
      </c>
      <c r="U67" s="32">
        <v>1722</v>
      </c>
      <c r="V67" s="26">
        <v>7230</v>
      </c>
    </row>
    <row r="68" spans="16:22" x14ac:dyDescent="0.3">
      <c r="P68" s="29" t="s">
        <v>19</v>
      </c>
      <c r="Q68" s="32">
        <v>1138</v>
      </c>
      <c r="R68" s="32">
        <v>1898</v>
      </c>
      <c r="S68" s="32">
        <v>1482</v>
      </c>
      <c r="T68" s="32">
        <v>846</v>
      </c>
      <c r="U68" s="32">
        <v>1154</v>
      </c>
      <c r="V68" s="26">
        <v>6518</v>
      </c>
    </row>
    <row r="69" spans="16:22" x14ac:dyDescent="0.3">
      <c r="P69" s="25" t="s">
        <v>1000</v>
      </c>
    </row>
    <row r="70" spans="16:22" x14ac:dyDescent="0.3">
      <c r="P70" s="29" t="s">
        <v>17</v>
      </c>
      <c r="Q70" s="32">
        <v>1655</v>
      </c>
      <c r="R70" s="32">
        <v>805</v>
      </c>
      <c r="S70" s="32">
        <v>2263</v>
      </c>
      <c r="T70" s="32">
        <v>987</v>
      </c>
      <c r="U70" s="32">
        <v>1075</v>
      </c>
      <c r="V70" s="26">
        <v>6785</v>
      </c>
    </row>
    <row r="71" spans="16:22" x14ac:dyDescent="0.3">
      <c r="P71" s="29" t="s">
        <v>23</v>
      </c>
      <c r="Q71" s="32">
        <v>1104</v>
      </c>
      <c r="R71" s="32">
        <v>2280</v>
      </c>
      <c r="S71" s="32">
        <v>1445</v>
      </c>
      <c r="T71" s="32">
        <v>1722</v>
      </c>
      <c r="U71" s="32">
        <v>1196</v>
      </c>
      <c r="V71" s="26">
        <v>7747</v>
      </c>
    </row>
    <row r="72" spans="16:22" x14ac:dyDescent="0.3">
      <c r="P72" s="29" t="s">
        <v>7</v>
      </c>
      <c r="Q72" s="32">
        <v>372</v>
      </c>
      <c r="R72" s="32">
        <v>1818</v>
      </c>
      <c r="S72" s="32">
        <v>1346</v>
      </c>
      <c r="T72" s="32">
        <v>1156</v>
      </c>
      <c r="U72" s="32">
        <v>1484</v>
      </c>
      <c r="V72" s="26">
        <v>6176</v>
      </c>
    </row>
    <row r="73" spans="16:22" x14ac:dyDescent="0.3">
      <c r="P73" s="29" t="s">
        <v>22</v>
      </c>
      <c r="Q73" s="32">
        <v>1415</v>
      </c>
      <c r="R73" s="32">
        <v>1271</v>
      </c>
      <c r="S73" s="32">
        <v>1214</v>
      </c>
      <c r="T73" s="32">
        <v>1135</v>
      </c>
      <c r="U73" s="32">
        <v>1566</v>
      </c>
      <c r="V73" s="26">
        <v>6601</v>
      </c>
    </row>
    <row r="74" spans="16:22" x14ac:dyDescent="0.3">
      <c r="P74" s="29" t="s">
        <v>21</v>
      </c>
      <c r="Q74" s="32">
        <v>1362</v>
      </c>
      <c r="R74" s="32">
        <v>1363</v>
      </c>
      <c r="S74" s="32">
        <v>1152</v>
      </c>
      <c r="T74" s="32">
        <v>777</v>
      </c>
      <c r="U74" s="32">
        <v>750</v>
      </c>
      <c r="V74" s="26">
        <v>5404</v>
      </c>
    </row>
  </sheetData>
  <pageMargins left="0.7" right="0.7" top="0.75" bottom="0.75" header="0.3" footer="0.3"/>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Customer center report</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Deepanshu Mittal</cp:lastModifiedBy>
  <dcterms:created xsi:type="dcterms:W3CDTF">2021-03-14T20:21:32Z</dcterms:created>
  <dcterms:modified xsi:type="dcterms:W3CDTF">2026-06-02T12:03:35Z</dcterms:modified>
</cp:coreProperties>
</file>